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9068b2f26c2f97f/Car/"/>
    </mc:Choice>
  </mc:AlternateContent>
  <xr:revisionPtr revIDLastSave="929" documentId="11_43D44755427C37B2B454A67128DFDBEED4972009" xr6:coauthVersionLast="47" xr6:coauthVersionMax="47" xr10:uidLastSave="{D530EDED-6167-844B-B409-C7F46927C380}"/>
  <bookViews>
    <workbookView xWindow="9960" yWindow="735" windowWidth="31680" windowHeight="19515" tabRatio="500" activeTab="3" xr2:uid="{00000000-000D-0000-FFFF-FFFF00000000}"/>
  </bookViews>
  <sheets>
    <sheet name="Dashboard" sheetId="1" r:id="rId1"/>
    <sheet name="Vehicle Info" sheetId="2" r:id="rId2"/>
    <sheet name="Expenses Log" sheetId="3" r:id="rId3"/>
    <sheet name="Fuel Log" sheetId="4" r:id="rId4"/>
    <sheet name="Service History" sheetId="5" r:id="rId5"/>
    <sheet name="DIY To-Do" sheetId="6" r:id="rId6"/>
    <sheet name="Workshop To-Do" sheetId="7" r:id="rId7"/>
    <sheet name="Regular Checks" sheetId="8" r:id="rId8"/>
    <sheet name="Wash Log" sheetId="10" r:id="rId9"/>
    <sheet name="Tyre Log" sheetId="9" r:id="rId10"/>
    <sheet name="Budget" sheetId="11" r:id="rId11"/>
    <sheet name="Issues Watchlist" sheetId="12" r:id="rId12"/>
    <sheet name="Equipment" sheetId="13" r:id="rId1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1" l="1"/>
  <c r="B18" i="11"/>
  <c r="B22" i="11"/>
  <c r="G32" i="12"/>
  <c r="E29" i="13"/>
  <c r="E28" i="13"/>
  <c r="E27" i="13"/>
  <c r="E5" i="1"/>
  <c r="F5" i="1"/>
  <c r="I42" i="3"/>
  <c r="I43" i="3"/>
  <c r="I44" i="3"/>
  <c r="I45" i="3"/>
  <c r="I46" i="3"/>
  <c r="I47" i="3"/>
  <c r="I48" i="3"/>
  <c r="I49" i="3"/>
  <c r="I50" i="3"/>
  <c r="I51" i="3"/>
  <c r="I52" i="3"/>
  <c r="I53" i="3"/>
  <c r="D34" i="7"/>
  <c r="E9" i="1"/>
  <c r="E8" i="1"/>
  <c r="E7" i="1"/>
  <c r="E6" i="1"/>
  <c r="C17" i="11"/>
  <c r="E17" i="11"/>
  <c r="C16" i="11"/>
  <c r="E16" i="11"/>
  <c r="C15" i="11"/>
  <c r="D15" i="11"/>
  <c r="C14" i="11"/>
  <c r="D14" i="11"/>
  <c r="C13" i="11"/>
  <c r="E13" i="11"/>
  <c r="C12" i="11"/>
  <c r="D12" i="11"/>
  <c r="C11" i="11"/>
  <c r="D11" i="11"/>
  <c r="C10" i="11"/>
  <c r="E10" i="11"/>
  <c r="C9" i="11"/>
  <c r="D9" i="11"/>
  <c r="C8" i="11"/>
  <c r="E8" i="11"/>
  <c r="C7" i="11"/>
  <c r="E7" i="11"/>
  <c r="C6" i="11"/>
  <c r="D6" i="1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C202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2" i="4"/>
  <c r="G202" i="4"/>
  <c r="H202" i="4"/>
  <c r="G201" i="4"/>
  <c r="G26" i="4"/>
  <c r="L26" i="4"/>
  <c r="G27" i="4"/>
  <c r="L27" i="4"/>
  <c r="G28" i="4"/>
  <c r="L28" i="4"/>
  <c r="G50" i="4"/>
  <c r="L50" i="4"/>
  <c r="G51" i="4"/>
  <c r="L51" i="4"/>
  <c r="G52" i="4"/>
  <c r="L52" i="4"/>
  <c r="G74" i="4"/>
  <c r="L74" i="4"/>
  <c r="G75" i="4"/>
  <c r="L75" i="4"/>
  <c r="G76" i="4"/>
  <c r="L76" i="4"/>
  <c r="G98" i="4"/>
  <c r="L98" i="4"/>
  <c r="G99" i="4"/>
  <c r="L99" i="4"/>
  <c r="G100" i="4"/>
  <c r="L100" i="4"/>
  <c r="G101" i="4"/>
  <c r="L101" i="4"/>
  <c r="G121" i="4"/>
  <c r="L121" i="4"/>
  <c r="G122" i="4"/>
  <c r="L122" i="4"/>
  <c r="G123" i="4"/>
  <c r="L123" i="4"/>
  <c r="G124" i="4"/>
  <c r="L124" i="4"/>
  <c r="G125" i="4"/>
  <c r="L125" i="4"/>
  <c r="G145" i="4"/>
  <c r="L145" i="4"/>
  <c r="G146" i="4"/>
  <c r="L146" i="4"/>
  <c r="G147" i="4"/>
  <c r="L147" i="4"/>
  <c r="G148" i="4"/>
  <c r="L148" i="4"/>
  <c r="G149" i="4"/>
  <c r="L149" i="4"/>
  <c r="G169" i="4"/>
  <c r="L169" i="4"/>
  <c r="G170" i="4"/>
  <c r="L170" i="4"/>
  <c r="G171" i="4"/>
  <c r="L171" i="4"/>
  <c r="G172" i="4"/>
  <c r="L172" i="4"/>
  <c r="G173" i="4"/>
  <c r="L173" i="4"/>
  <c r="G183" i="4"/>
  <c r="L183" i="4"/>
  <c r="G193" i="4"/>
  <c r="L193" i="4"/>
  <c r="G194" i="4"/>
  <c r="L194" i="4"/>
  <c r="G195" i="4"/>
  <c r="L195" i="4"/>
  <c r="G196" i="4"/>
  <c r="L196" i="4"/>
  <c r="G197" i="4"/>
  <c r="L197" i="4"/>
  <c r="L201" i="4"/>
  <c r="G23" i="4"/>
  <c r="K23" i="4"/>
  <c r="G24" i="4"/>
  <c r="K24" i="4"/>
  <c r="G25" i="4"/>
  <c r="K25" i="4"/>
  <c r="K26" i="4"/>
  <c r="G39" i="4"/>
  <c r="K39" i="4"/>
  <c r="G47" i="4"/>
  <c r="K47" i="4"/>
  <c r="G48" i="4"/>
  <c r="K48" i="4"/>
  <c r="G49" i="4"/>
  <c r="K49" i="4"/>
  <c r="K50" i="4"/>
  <c r="G63" i="4"/>
  <c r="K63" i="4"/>
  <c r="G71" i="4"/>
  <c r="K71" i="4"/>
  <c r="G72" i="4"/>
  <c r="K72" i="4"/>
  <c r="G73" i="4"/>
  <c r="K73" i="4"/>
  <c r="K74" i="4"/>
  <c r="G87" i="4"/>
  <c r="K87" i="4"/>
  <c r="G95" i="4"/>
  <c r="K95" i="4"/>
  <c r="G96" i="4"/>
  <c r="K96" i="4"/>
  <c r="G97" i="4"/>
  <c r="K97" i="4"/>
  <c r="K98" i="4"/>
  <c r="G111" i="4"/>
  <c r="K111" i="4"/>
  <c r="G119" i="4"/>
  <c r="K119" i="4"/>
  <c r="G120" i="4"/>
  <c r="K120" i="4"/>
  <c r="K121" i="4"/>
  <c r="K122" i="4"/>
  <c r="G135" i="4"/>
  <c r="K135" i="4"/>
  <c r="G143" i="4"/>
  <c r="K143" i="4"/>
  <c r="G144" i="4"/>
  <c r="K144" i="4"/>
  <c r="K145" i="4"/>
  <c r="K146" i="4"/>
  <c r="G158" i="4"/>
  <c r="K158" i="4"/>
  <c r="G159" i="4"/>
  <c r="K159" i="4"/>
  <c r="G167" i="4"/>
  <c r="K167" i="4"/>
  <c r="G168" i="4"/>
  <c r="K168" i="4"/>
  <c r="K169" i="4"/>
  <c r="K170" i="4"/>
  <c r="G182" i="4"/>
  <c r="K182" i="4"/>
  <c r="K183" i="4"/>
  <c r="G191" i="4"/>
  <c r="K191" i="4"/>
  <c r="G192" i="4"/>
  <c r="K192" i="4"/>
  <c r="K193" i="4"/>
  <c r="K194" i="4"/>
  <c r="K201" i="4"/>
  <c r="J47" i="4"/>
  <c r="G70" i="4"/>
  <c r="J70" i="4"/>
  <c r="J71" i="4"/>
  <c r="J72" i="4"/>
  <c r="J73" i="4"/>
  <c r="J123" i="4"/>
  <c r="J143" i="4"/>
  <c r="J147" i="4"/>
  <c r="J148" i="4"/>
  <c r="G166" i="4"/>
  <c r="J166" i="4"/>
  <c r="J167" i="4"/>
  <c r="J168" i="4"/>
  <c r="J171" i="4"/>
  <c r="J201" i="4"/>
  <c r="H27" i="4"/>
  <c r="H47" i="4"/>
  <c r="H48" i="4"/>
  <c r="H49" i="4"/>
  <c r="H50" i="4"/>
  <c r="H51" i="4"/>
  <c r="H98" i="4"/>
  <c r="H119" i="4"/>
  <c r="H120" i="4"/>
  <c r="H123" i="4"/>
  <c r="H125" i="4"/>
  <c r="G141" i="4"/>
  <c r="H141" i="4"/>
  <c r="H171" i="4"/>
  <c r="H191" i="4"/>
  <c r="H192" i="4"/>
  <c r="H195" i="4"/>
  <c r="H197" i="4"/>
  <c r="H201" i="4"/>
  <c r="F6" i="4"/>
  <c r="G6" i="4"/>
  <c r="E7" i="4"/>
  <c r="D19" i="6"/>
  <c r="E10" i="1"/>
  <c r="E22" i="8"/>
  <c r="F22" i="8"/>
  <c r="F21" i="8"/>
  <c r="E21" i="8"/>
  <c r="E20" i="8"/>
  <c r="F20" i="8"/>
  <c r="E19" i="8"/>
  <c r="F19" i="8"/>
  <c r="E18" i="8"/>
  <c r="F18" i="8"/>
  <c r="E17" i="8"/>
  <c r="F17" i="8"/>
  <c r="E16" i="8"/>
  <c r="F16" i="8"/>
  <c r="E15" i="8"/>
  <c r="F15" i="8"/>
  <c r="E14" i="8"/>
  <c r="F14" i="8"/>
  <c r="E13" i="8"/>
  <c r="F13" i="8"/>
  <c r="E12" i="8"/>
  <c r="F12" i="8"/>
  <c r="E11" i="8"/>
  <c r="F11" i="8"/>
  <c r="E10" i="8"/>
  <c r="F10" i="8"/>
  <c r="E9" i="8"/>
  <c r="F9" i="8"/>
  <c r="E8" i="8"/>
  <c r="F8" i="8"/>
  <c r="E7" i="8"/>
  <c r="F7" i="8"/>
  <c r="E6" i="8"/>
  <c r="F6" i="8"/>
  <c r="E5" i="8"/>
  <c r="F5" i="8"/>
  <c r="G34" i="5"/>
  <c r="E16" i="1"/>
  <c r="G200" i="4"/>
  <c r="J200" i="4"/>
  <c r="E200" i="4"/>
  <c r="G199" i="4"/>
  <c r="J199" i="4"/>
  <c r="E199" i="4"/>
  <c r="G198" i="4"/>
  <c r="H198" i="4"/>
  <c r="E198" i="4"/>
  <c r="J197" i="4"/>
  <c r="E197" i="4"/>
  <c r="H196" i="4"/>
  <c r="E196" i="4"/>
  <c r="K195" i="4"/>
  <c r="E195" i="4"/>
  <c r="H194" i="4"/>
  <c r="E194" i="4"/>
  <c r="J193" i="4"/>
  <c r="E193" i="4"/>
  <c r="J192" i="4"/>
  <c r="E192" i="4"/>
  <c r="J191" i="4"/>
  <c r="E191" i="4"/>
  <c r="G190" i="4"/>
  <c r="J190" i="4"/>
  <c r="E190" i="4"/>
  <c r="G189" i="4"/>
  <c r="J189" i="4"/>
  <c r="E189" i="4"/>
  <c r="G188" i="4"/>
  <c r="J188" i="4"/>
  <c r="E188" i="4"/>
  <c r="G187" i="4"/>
  <c r="J187" i="4"/>
  <c r="E187" i="4"/>
  <c r="G186" i="4"/>
  <c r="J186" i="4"/>
  <c r="E186" i="4"/>
  <c r="G185" i="4"/>
  <c r="J185" i="4"/>
  <c r="E185" i="4"/>
  <c r="G184" i="4"/>
  <c r="J184" i="4"/>
  <c r="E184" i="4"/>
  <c r="J183" i="4"/>
  <c r="E183" i="4"/>
  <c r="J182" i="4"/>
  <c r="E182" i="4"/>
  <c r="G181" i="4"/>
  <c r="J181" i="4"/>
  <c r="E181" i="4"/>
  <c r="G180" i="4"/>
  <c r="J180" i="4"/>
  <c r="E180" i="4"/>
  <c r="G179" i="4"/>
  <c r="J179" i="4"/>
  <c r="E179" i="4"/>
  <c r="G178" i="4"/>
  <c r="J178" i="4"/>
  <c r="E178" i="4"/>
  <c r="G177" i="4"/>
  <c r="J177" i="4"/>
  <c r="E177" i="4"/>
  <c r="G176" i="4"/>
  <c r="J176" i="4"/>
  <c r="E176" i="4"/>
  <c r="G175" i="4"/>
  <c r="J175" i="4"/>
  <c r="E175" i="4"/>
  <c r="G174" i="4"/>
  <c r="H174" i="4"/>
  <c r="E174" i="4"/>
  <c r="J173" i="4"/>
  <c r="E173" i="4"/>
  <c r="H172" i="4"/>
  <c r="E172" i="4"/>
  <c r="K171" i="4"/>
  <c r="E171" i="4"/>
  <c r="H170" i="4"/>
  <c r="E170" i="4"/>
  <c r="J169" i="4"/>
  <c r="E169" i="4"/>
  <c r="H168" i="4"/>
  <c r="E168" i="4"/>
  <c r="H167" i="4"/>
  <c r="E167" i="4"/>
  <c r="H166" i="4"/>
  <c r="E166" i="4"/>
  <c r="G165" i="4"/>
  <c r="J165" i="4"/>
  <c r="E165" i="4"/>
  <c r="G164" i="4"/>
  <c r="J164" i="4"/>
  <c r="E164" i="4"/>
  <c r="G163" i="4"/>
  <c r="J163" i="4"/>
  <c r="E163" i="4"/>
  <c r="G162" i="4"/>
  <c r="J162" i="4"/>
  <c r="E162" i="4"/>
  <c r="G161" i="4"/>
  <c r="J161" i="4"/>
  <c r="E161" i="4"/>
  <c r="G160" i="4"/>
  <c r="J160" i="4"/>
  <c r="E160" i="4"/>
  <c r="J159" i="4"/>
  <c r="E159" i="4"/>
  <c r="J158" i="4"/>
  <c r="E158" i="4"/>
  <c r="G157" i="4"/>
  <c r="J157" i="4"/>
  <c r="E157" i="4"/>
  <c r="G156" i="4"/>
  <c r="J156" i="4"/>
  <c r="E156" i="4"/>
  <c r="G155" i="4"/>
  <c r="J155" i="4"/>
  <c r="E155" i="4"/>
  <c r="G154" i="4"/>
  <c r="J154" i="4"/>
  <c r="E154" i="4"/>
  <c r="G153" i="4"/>
  <c r="J153" i="4"/>
  <c r="E153" i="4"/>
  <c r="G152" i="4"/>
  <c r="J152" i="4"/>
  <c r="E152" i="4"/>
  <c r="G151" i="4"/>
  <c r="J151" i="4"/>
  <c r="E151" i="4"/>
  <c r="G150" i="4"/>
  <c r="H150" i="4"/>
  <c r="E150" i="4"/>
  <c r="J149" i="4"/>
  <c r="E149" i="4"/>
  <c r="H148" i="4"/>
  <c r="E148" i="4"/>
  <c r="K147" i="4"/>
  <c r="E147" i="4"/>
  <c r="H146" i="4"/>
  <c r="E146" i="4"/>
  <c r="J145" i="4"/>
  <c r="E145" i="4"/>
  <c r="H144" i="4"/>
  <c r="E144" i="4"/>
  <c r="H143" i="4"/>
  <c r="E143" i="4"/>
  <c r="G142" i="4"/>
  <c r="H142" i="4"/>
  <c r="E142" i="4"/>
  <c r="J141" i="4"/>
  <c r="E141" i="4"/>
  <c r="G140" i="4"/>
  <c r="J140" i="4"/>
  <c r="E140" i="4"/>
  <c r="G139" i="4"/>
  <c r="J139" i="4"/>
  <c r="E139" i="4"/>
  <c r="G138" i="4"/>
  <c r="J138" i="4"/>
  <c r="E138" i="4"/>
  <c r="G137" i="4"/>
  <c r="J137" i="4"/>
  <c r="E137" i="4"/>
  <c r="G136" i="4"/>
  <c r="J136" i="4"/>
  <c r="E136" i="4"/>
  <c r="J135" i="4"/>
  <c r="E135" i="4"/>
  <c r="G134" i="4"/>
  <c r="J134" i="4"/>
  <c r="E134" i="4"/>
  <c r="G133" i="4"/>
  <c r="J133" i="4"/>
  <c r="E133" i="4"/>
  <c r="G132" i="4"/>
  <c r="J132" i="4"/>
  <c r="E132" i="4"/>
  <c r="G131" i="4"/>
  <c r="J131" i="4"/>
  <c r="E131" i="4"/>
  <c r="G130" i="4"/>
  <c r="J130" i="4"/>
  <c r="E130" i="4"/>
  <c r="G129" i="4"/>
  <c r="J129" i="4"/>
  <c r="E129" i="4"/>
  <c r="G128" i="4"/>
  <c r="J128" i="4"/>
  <c r="E128" i="4"/>
  <c r="G127" i="4"/>
  <c r="J127" i="4"/>
  <c r="E127" i="4"/>
  <c r="G126" i="4"/>
  <c r="H126" i="4"/>
  <c r="E126" i="4"/>
  <c r="J125" i="4"/>
  <c r="E125" i="4"/>
  <c r="H124" i="4"/>
  <c r="E124" i="4"/>
  <c r="K123" i="4"/>
  <c r="E123" i="4"/>
  <c r="H122" i="4"/>
  <c r="E122" i="4"/>
  <c r="J121" i="4"/>
  <c r="E121" i="4"/>
  <c r="J120" i="4"/>
  <c r="E120" i="4"/>
  <c r="J119" i="4"/>
  <c r="E119" i="4"/>
  <c r="G118" i="4"/>
  <c r="L118" i="4"/>
  <c r="E118" i="4"/>
  <c r="G117" i="4"/>
  <c r="J117" i="4"/>
  <c r="E117" i="4"/>
  <c r="G116" i="4"/>
  <c r="J116" i="4"/>
  <c r="E116" i="4"/>
  <c r="G115" i="4"/>
  <c r="J115" i="4"/>
  <c r="E115" i="4"/>
  <c r="G114" i="4"/>
  <c r="J114" i="4"/>
  <c r="E114" i="4"/>
  <c r="G113" i="4"/>
  <c r="J113" i="4"/>
  <c r="E113" i="4"/>
  <c r="G112" i="4"/>
  <c r="J112" i="4"/>
  <c r="E112" i="4"/>
  <c r="J111" i="4"/>
  <c r="E111" i="4"/>
  <c r="G110" i="4"/>
  <c r="J110" i="4"/>
  <c r="E110" i="4"/>
  <c r="G109" i="4"/>
  <c r="J109" i="4"/>
  <c r="E109" i="4"/>
  <c r="G108" i="4"/>
  <c r="J108" i="4"/>
  <c r="E108" i="4"/>
  <c r="G107" i="4"/>
  <c r="J107" i="4"/>
  <c r="E107" i="4"/>
  <c r="G106" i="4"/>
  <c r="J106" i="4"/>
  <c r="E106" i="4"/>
  <c r="G105" i="4"/>
  <c r="J105" i="4"/>
  <c r="E105" i="4"/>
  <c r="G104" i="4"/>
  <c r="J104" i="4"/>
  <c r="E104" i="4"/>
  <c r="G103" i="4"/>
  <c r="J103" i="4"/>
  <c r="E103" i="4"/>
  <c r="G102" i="4"/>
  <c r="H102" i="4"/>
  <c r="E102" i="4"/>
  <c r="J101" i="4"/>
  <c r="E101" i="4"/>
  <c r="H100" i="4"/>
  <c r="E100" i="4"/>
  <c r="K99" i="4"/>
  <c r="E99" i="4"/>
  <c r="J98" i="4"/>
  <c r="E98" i="4"/>
  <c r="J97" i="4"/>
  <c r="E97" i="4"/>
  <c r="J96" i="4"/>
  <c r="E96" i="4"/>
  <c r="J95" i="4"/>
  <c r="E95" i="4"/>
  <c r="G94" i="4"/>
  <c r="J94" i="4"/>
  <c r="E94" i="4"/>
  <c r="G93" i="4"/>
  <c r="J93" i="4"/>
  <c r="E93" i="4"/>
  <c r="G92" i="4"/>
  <c r="J92" i="4"/>
  <c r="E92" i="4"/>
  <c r="G91" i="4"/>
  <c r="J91" i="4"/>
  <c r="E91" i="4"/>
  <c r="G90" i="4"/>
  <c r="J90" i="4"/>
  <c r="E90" i="4"/>
  <c r="G89" i="4"/>
  <c r="J89" i="4"/>
  <c r="E89" i="4"/>
  <c r="G88" i="4"/>
  <c r="J88" i="4"/>
  <c r="E88" i="4"/>
  <c r="J87" i="4"/>
  <c r="E87" i="4"/>
  <c r="G86" i="4"/>
  <c r="J86" i="4"/>
  <c r="E86" i="4"/>
  <c r="G85" i="4"/>
  <c r="J85" i="4"/>
  <c r="E85" i="4"/>
  <c r="G84" i="4"/>
  <c r="J84" i="4"/>
  <c r="E84" i="4"/>
  <c r="G83" i="4"/>
  <c r="J83" i="4"/>
  <c r="E83" i="4"/>
  <c r="G82" i="4"/>
  <c r="J82" i="4"/>
  <c r="E82" i="4"/>
  <c r="G81" i="4"/>
  <c r="J81" i="4"/>
  <c r="E81" i="4"/>
  <c r="G80" i="4"/>
  <c r="J80" i="4"/>
  <c r="E80" i="4"/>
  <c r="G79" i="4"/>
  <c r="J79" i="4"/>
  <c r="E79" i="4"/>
  <c r="G78" i="4"/>
  <c r="H78" i="4"/>
  <c r="E78" i="4"/>
  <c r="G77" i="4"/>
  <c r="J77" i="4"/>
  <c r="E77" i="4"/>
  <c r="H76" i="4"/>
  <c r="E76" i="4"/>
  <c r="J75" i="4"/>
  <c r="E75" i="4"/>
  <c r="J74" i="4"/>
  <c r="E74" i="4"/>
  <c r="H73" i="4"/>
  <c r="E73" i="4"/>
  <c r="H72" i="4"/>
  <c r="E72" i="4"/>
  <c r="H71" i="4"/>
  <c r="E71" i="4"/>
  <c r="H70" i="4"/>
  <c r="E70" i="4"/>
  <c r="G69" i="4"/>
  <c r="J69" i="4"/>
  <c r="E69" i="4"/>
  <c r="G68" i="4"/>
  <c r="J68" i="4"/>
  <c r="E68" i="4"/>
  <c r="G67" i="4"/>
  <c r="J67" i="4"/>
  <c r="E67" i="4"/>
  <c r="G66" i="4"/>
  <c r="J66" i="4"/>
  <c r="E66" i="4"/>
  <c r="G65" i="4"/>
  <c r="J65" i="4"/>
  <c r="E65" i="4"/>
  <c r="G64" i="4"/>
  <c r="J64" i="4"/>
  <c r="E64" i="4"/>
  <c r="J63" i="4"/>
  <c r="E63" i="4"/>
  <c r="G62" i="4"/>
  <c r="J62" i="4"/>
  <c r="E62" i="4"/>
  <c r="G61" i="4"/>
  <c r="J61" i="4"/>
  <c r="E61" i="4"/>
  <c r="G60" i="4"/>
  <c r="J60" i="4"/>
  <c r="E60" i="4"/>
  <c r="G59" i="4"/>
  <c r="J59" i="4"/>
  <c r="E59" i="4"/>
  <c r="G58" i="4"/>
  <c r="J58" i="4"/>
  <c r="E58" i="4"/>
  <c r="G57" i="4"/>
  <c r="J57" i="4"/>
  <c r="E57" i="4"/>
  <c r="G56" i="4"/>
  <c r="J56" i="4"/>
  <c r="E56" i="4"/>
  <c r="G55" i="4"/>
  <c r="J55" i="4"/>
  <c r="E55" i="4"/>
  <c r="G54" i="4"/>
  <c r="H54" i="4"/>
  <c r="E54" i="4"/>
  <c r="G53" i="4"/>
  <c r="J53" i="4"/>
  <c r="E53" i="4"/>
  <c r="H52" i="4"/>
  <c r="E52" i="4"/>
  <c r="J51" i="4"/>
  <c r="E51" i="4"/>
  <c r="J50" i="4"/>
  <c r="E50" i="4"/>
  <c r="J49" i="4"/>
  <c r="E49" i="4"/>
  <c r="J48" i="4"/>
  <c r="E48" i="4"/>
  <c r="L47" i="4"/>
  <c r="E47" i="4"/>
  <c r="G46" i="4"/>
  <c r="L46" i="4"/>
  <c r="E46" i="4"/>
  <c r="G45" i="4"/>
  <c r="J45" i="4"/>
  <c r="E45" i="4"/>
  <c r="G44" i="4"/>
  <c r="J44" i="4"/>
  <c r="E44" i="4"/>
  <c r="G43" i="4"/>
  <c r="J43" i="4"/>
  <c r="E43" i="4"/>
  <c r="G42" i="4"/>
  <c r="J42" i="4"/>
  <c r="E42" i="4"/>
  <c r="G41" i="4"/>
  <c r="J41" i="4"/>
  <c r="E41" i="4"/>
  <c r="G40" i="4"/>
  <c r="J40" i="4"/>
  <c r="E40" i="4"/>
  <c r="J39" i="4"/>
  <c r="E39" i="4"/>
  <c r="G38" i="4"/>
  <c r="J38" i="4"/>
  <c r="E38" i="4"/>
  <c r="G37" i="4"/>
  <c r="J37" i="4"/>
  <c r="E37" i="4"/>
  <c r="G36" i="4"/>
  <c r="J36" i="4"/>
  <c r="E36" i="4"/>
  <c r="G35" i="4"/>
  <c r="J35" i="4"/>
  <c r="E35" i="4"/>
  <c r="G34" i="4"/>
  <c r="J34" i="4"/>
  <c r="E34" i="4"/>
  <c r="G33" i="4"/>
  <c r="J33" i="4"/>
  <c r="E33" i="4"/>
  <c r="G32" i="4"/>
  <c r="J32" i="4"/>
  <c r="E32" i="4"/>
  <c r="G31" i="4"/>
  <c r="J31" i="4"/>
  <c r="E31" i="4"/>
  <c r="G30" i="4"/>
  <c r="H30" i="4"/>
  <c r="E30" i="4"/>
  <c r="G29" i="4"/>
  <c r="J29" i="4"/>
  <c r="E29" i="4"/>
  <c r="H28" i="4"/>
  <c r="E28" i="4"/>
  <c r="J27" i="4"/>
  <c r="E27" i="4"/>
  <c r="J26" i="4"/>
  <c r="E26" i="4"/>
  <c r="J25" i="4"/>
  <c r="E25" i="4"/>
  <c r="J24" i="4"/>
  <c r="E24" i="4"/>
  <c r="J23" i="4"/>
  <c r="E23" i="4"/>
  <c r="G22" i="4"/>
  <c r="L22" i="4"/>
  <c r="E22" i="4"/>
  <c r="G21" i="4"/>
  <c r="J21" i="4"/>
  <c r="E21" i="4"/>
  <c r="G20" i="4"/>
  <c r="J20" i="4"/>
  <c r="E20" i="4"/>
  <c r="G19" i="4"/>
  <c r="J19" i="4"/>
  <c r="E19" i="4"/>
  <c r="G18" i="4"/>
  <c r="J18" i="4"/>
  <c r="K18" i="4"/>
  <c r="E18" i="4"/>
  <c r="G17" i="4"/>
  <c r="J17" i="4"/>
  <c r="E17" i="4"/>
  <c r="G16" i="4"/>
  <c r="J16" i="4"/>
  <c r="E16" i="4"/>
  <c r="G15" i="4"/>
  <c r="J15" i="4"/>
  <c r="E15" i="4"/>
  <c r="G14" i="4"/>
  <c r="J14" i="4"/>
  <c r="E14" i="4"/>
  <c r="G13" i="4"/>
  <c r="J13" i="4"/>
  <c r="E13" i="4"/>
  <c r="G12" i="4"/>
  <c r="J12" i="4"/>
  <c r="E12" i="4"/>
  <c r="G11" i="4"/>
  <c r="J11" i="4"/>
  <c r="E11" i="4"/>
  <c r="F10" i="4"/>
  <c r="G10" i="4"/>
  <c r="J10" i="4"/>
  <c r="E10" i="4"/>
  <c r="F9" i="4"/>
  <c r="G9" i="4"/>
  <c r="J9" i="4"/>
  <c r="E9" i="4"/>
  <c r="F8" i="4"/>
  <c r="G8" i="4"/>
  <c r="J8" i="4"/>
  <c r="E8" i="4"/>
  <c r="F7" i="4"/>
  <c r="G7" i="4"/>
  <c r="J7" i="4"/>
  <c r="E6" i="4"/>
  <c r="E207" i="3"/>
  <c r="E28" i="1"/>
  <c r="B28" i="1"/>
  <c r="E27" i="1"/>
  <c r="E23" i="1"/>
  <c r="B23" i="1"/>
  <c r="E22" i="1"/>
  <c r="B22" i="1"/>
  <c r="E21" i="1"/>
  <c r="B21" i="1"/>
  <c r="E18" i="1"/>
  <c r="B18" i="1"/>
  <c r="E17" i="1"/>
  <c r="B17" i="1"/>
  <c r="B16" i="1"/>
  <c r="B15" i="1"/>
  <c r="B13" i="1"/>
  <c r="B14" i="1"/>
  <c r="B11" i="1"/>
  <c r="B12" i="1"/>
  <c r="B8" i="1"/>
  <c r="B7" i="1"/>
  <c r="L77" i="4"/>
  <c r="L53" i="4"/>
  <c r="L29" i="4"/>
  <c r="L150" i="4"/>
  <c r="J150" i="4"/>
  <c r="J54" i="4"/>
  <c r="K190" i="4"/>
  <c r="K166" i="4"/>
  <c r="K142" i="4"/>
  <c r="K118" i="4"/>
  <c r="K94" i="4"/>
  <c r="K70" i="4"/>
  <c r="K46" i="4"/>
  <c r="K22" i="4"/>
  <c r="L54" i="4"/>
  <c r="H118" i="4"/>
  <c r="H46" i="4"/>
  <c r="J52" i="4"/>
  <c r="K189" i="4"/>
  <c r="K165" i="4"/>
  <c r="K141" i="4"/>
  <c r="K117" i="4"/>
  <c r="K93" i="4"/>
  <c r="K69" i="4"/>
  <c r="K45" i="4"/>
  <c r="K21" i="4"/>
  <c r="L97" i="4"/>
  <c r="L73" i="4"/>
  <c r="L49" i="4"/>
  <c r="L25" i="4"/>
  <c r="L126" i="4"/>
  <c r="H117" i="4"/>
  <c r="H45" i="4"/>
  <c r="K188" i="4"/>
  <c r="K164" i="4"/>
  <c r="K140" i="4"/>
  <c r="K116" i="4"/>
  <c r="K92" i="4"/>
  <c r="K68" i="4"/>
  <c r="K44" i="4"/>
  <c r="K20" i="4"/>
  <c r="L192" i="4"/>
  <c r="L168" i="4"/>
  <c r="L144" i="4"/>
  <c r="L120" i="4"/>
  <c r="L96" i="4"/>
  <c r="L72" i="4"/>
  <c r="L48" i="4"/>
  <c r="L24" i="4"/>
  <c r="H101" i="4"/>
  <c r="H29" i="4"/>
  <c r="J144" i="4"/>
  <c r="K187" i="4"/>
  <c r="K163" i="4"/>
  <c r="K139" i="4"/>
  <c r="K115" i="4"/>
  <c r="K91" i="4"/>
  <c r="K67" i="4"/>
  <c r="K43" i="4"/>
  <c r="K19" i="4"/>
  <c r="L191" i="4"/>
  <c r="L167" i="4"/>
  <c r="L143" i="4"/>
  <c r="L119" i="4"/>
  <c r="L95" i="4"/>
  <c r="L71" i="4"/>
  <c r="L23" i="4"/>
  <c r="L30" i="4"/>
  <c r="L94" i="4"/>
  <c r="H97" i="4"/>
  <c r="H26" i="4"/>
  <c r="J142" i="4"/>
  <c r="J46" i="4"/>
  <c r="K185" i="4"/>
  <c r="K161" i="4"/>
  <c r="K137" i="4"/>
  <c r="K113" i="4"/>
  <c r="K89" i="4"/>
  <c r="K65" i="4"/>
  <c r="K41" i="4"/>
  <c r="K17" i="4"/>
  <c r="L189" i="4"/>
  <c r="L165" i="4"/>
  <c r="L141" i="4"/>
  <c r="L117" i="4"/>
  <c r="L93" i="4"/>
  <c r="L69" i="4"/>
  <c r="L45" i="4"/>
  <c r="L21" i="4"/>
  <c r="L174" i="4"/>
  <c r="K66" i="4"/>
  <c r="H190" i="4"/>
  <c r="H96" i="4"/>
  <c r="H25" i="4"/>
  <c r="J126" i="4"/>
  <c r="J30" i="4"/>
  <c r="K184" i="4"/>
  <c r="K160" i="4"/>
  <c r="K136" i="4"/>
  <c r="K112" i="4"/>
  <c r="K88" i="4"/>
  <c r="K64" i="4"/>
  <c r="K40" i="4"/>
  <c r="K16" i="4"/>
  <c r="L188" i="4"/>
  <c r="L164" i="4"/>
  <c r="L140" i="4"/>
  <c r="L116" i="4"/>
  <c r="L92" i="4"/>
  <c r="L68" i="4"/>
  <c r="L44" i="4"/>
  <c r="L20" i="4"/>
  <c r="K138" i="4"/>
  <c r="L142" i="4"/>
  <c r="H189" i="4"/>
  <c r="H95" i="4"/>
  <c r="H24" i="4"/>
  <c r="J124" i="4"/>
  <c r="J28" i="4"/>
  <c r="K15" i="4"/>
  <c r="L187" i="4"/>
  <c r="L163" i="4"/>
  <c r="L139" i="4"/>
  <c r="L115" i="4"/>
  <c r="L91" i="4"/>
  <c r="L67" i="4"/>
  <c r="L43" i="4"/>
  <c r="L19" i="4"/>
  <c r="L102" i="4"/>
  <c r="K90" i="4"/>
  <c r="L70" i="4"/>
  <c r="H180" i="4"/>
  <c r="H94" i="4"/>
  <c r="H23" i="4"/>
  <c r="K134" i="4"/>
  <c r="K110" i="4"/>
  <c r="K86" i="4"/>
  <c r="K62" i="4"/>
  <c r="K38" i="4"/>
  <c r="K14" i="4"/>
  <c r="L186" i="4"/>
  <c r="L162" i="4"/>
  <c r="L138" i="4"/>
  <c r="L114" i="4"/>
  <c r="L90" i="4"/>
  <c r="L66" i="4"/>
  <c r="L42" i="4"/>
  <c r="L18" i="4"/>
  <c r="L78" i="4"/>
  <c r="K186" i="4"/>
  <c r="K114" i="4"/>
  <c r="K42" i="4"/>
  <c r="H173" i="4"/>
  <c r="H93" i="4"/>
  <c r="H22" i="4"/>
  <c r="K181" i="4"/>
  <c r="K157" i="4"/>
  <c r="K133" i="4"/>
  <c r="K109" i="4"/>
  <c r="K85" i="4"/>
  <c r="K61" i="4"/>
  <c r="K37" i="4"/>
  <c r="K13" i="4"/>
  <c r="L185" i="4"/>
  <c r="L161" i="4"/>
  <c r="L137" i="4"/>
  <c r="L113" i="4"/>
  <c r="L89" i="4"/>
  <c r="L65" i="4"/>
  <c r="L41" i="4"/>
  <c r="L17" i="4"/>
  <c r="H85" i="4"/>
  <c r="H21" i="4"/>
  <c r="K180" i="4"/>
  <c r="K156" i="4"/>
  <c r="K132" i="4"/>
  <c r="K108" i="4"/>
  <c r="K84" i="4"/>
  <c r="K60" i="4"/>
  <c r="K36" i="4"/>
  <c r="K12" i="4"/>
  <c r="L184" i="4"/>
  <c r="L160" i="4"/>
  <c r="L136" i="4"/>
  <c r="L112" i="4"/>
  <c r="L88" i="4"/>
  <c r="L64" i="4"/>
  <c r="L40" i="4"/>
  <c r="L16" i="4"/>
  <c r="L198" i="4"/>
  <c r="L190" i="4"/>
  <c r="H77" i="4"/>
  <c r="J118" i="4"/>
  <c r="J22" i="4"/>
  <c r="K179" i="4"/>
  <c r="K155" i="4"/>
  <c r="K131" i="4"/>
  <c r="K107" i="4"/>
  <c r="K83" i="4"/>
  <c r="K59" i="4"/>
  <c r="K35" i="4"/>
  <c r="K11" i="4"/>
  <c r="L159" i="4"/>
  <c r="L135" i="4"/>
  <c r="L111" i="4"/>
  <c r="L87" i="4"/>
  <c r="L63" i="4"/>
  <c r="L39" i="4"/>
  <c r="L15" i="4"/>
  <c r="H75" i="4"/>
  <c r="J198" i="4"/>
  <c r="J102" i="4"/>
  <c r="K6" i="4"/>
  <c r="K178" i="4"/>
  <c r="K154" i="4"/>
  <c r="K130" i="4"/>
  <c r="K106" i="4"/>
  <c r="K82" i="4"/>
  <c r="K58" i="4"/>
  <c r="K34" i="4"/>
  <c r="K10" i="4"/>
  <c r="L182" i="4"/>
  <c r="L158" i="4"/>
  <c r="L134" i="4"/>
  <c r="L110" i="4"/>
  <c r="L86" i="4"/>
  <c r="L62" i="4"/>
  <c r="L38" i="4"/>
  <c r="L14" i="4"/>
  <c r="L166" i="4"/>
  <c r="H74" i="4"/>
  <c r="J196" i="4"/>
  <c r="J100" i="4"/>
  <c r="K177" i="4"/>
  <c r="K153" i="4"/>
  <c r="K129" i="4"/>
  <c r="K105" i="4"/>
  <c r="K81" i="4"/>
  <c r="K57" i="4"/>
  <c r="K33" i="4"/>
  <c r="K9" i="4"/>
  <c r="L181" i="4"/>
  <c r="L157" i="4"/>
  <c r="L133" i="4"/>
  <c r="L109" i="4"/>
  <c r="L85" i="4"/>
  <c r="L61" i="4"/>
  <c r="L37" i="4"/>
  <c r="L13" i="4"/>
  <c r="H165" i="4"/>
  <c r="J195" i="4"/>
  <c r="K200" i="4"/>
  <c r="K176" i="4"/>
  <c r="K152" i="4"/>
  <c r="K128" i="4"/>
  <c r="K104" i="4"/>
  <c r="K80" i="4"/>
  <c r="K56" i="4"/>
  <c r="K32" i="4"/>
  <c r="K8" i="4"/>
  <c r="L180" i="4"/>
  <c r="L156" i="4"/>
  <c r="L132" i="4"/>
  <c r="L108" i="4"/>
  <c r="L84" i="4"/>
  <c r="L60" i="4"/>
  <c r="L36" i="4"/>
  <c r="L12" i="4"/>
  <c r="K162" i="4"/>
  <c r="H149" i="4"/>
  <c r="K199" i="4"/>
  <c r="K175" i="4"/>
  <c r="K151" i="4"/>
  <c r="K127" i="4"/>
  <c r="K103" i="4"/>
  <c r="K79" i="4"/>
  <c r="K55" i="4"/>
  <c r="K31" i="4"/>
  <c r="K7" i="4"/>
  <c r="L179" i="4"/>
  <c r="L155" i="4"/>
  <c r="L131" i="4"/>
  <c r="L107" i="4"/>
  <c r="L83" i="4"/>
  <c r="L59" i="4"/>
  <c r="L35" i="4"/>
  <c r="L11" i="4"/>
  <c r="H147" i="4"/>
  <c r="K198" i="4"/>
  <c r="K174" i="4"/>
  <c r="K150" i="4"/>
  <c r="K126" i="4"/>
  <c r="K102" i="4"/>
  <c r="K78" i="4"/>
  <c r="K54" i="4"/>
  <c r="K30" i="4"/>
  <c r="L178" i="4"/>
  <c r="L154" i="4"/>
  <c r="L130" i="4"/>
  <c r="L106" i="4"/>
  <c r="L82" i="4"/>
  <c r="L58" i="4"/>
  <c r="L34" i="4"/>
  <c r="L10" i="4"/>
  <c r="K197" i="4"/>
  <c r="K173" i="4"/>
  <c r="K149" i="4"/>
  <c r="K125" i="4"/>
  <c r="K101" i="4"/>
  <c r="K77" i="4"/>
  <c r="K53" i="4"/>
  <c r="K29" i="4"/>
  <c r="L177" i="4"/>
  <c r="L153" i="4"/>
  <c r="L129" i="4"/>
  <c r="L105" i="4"/>
  <c r="L81" i="4"/>
  <c r="L57" i="4"/>
  <c r="L33" i="4"/>
  <c r="L9" i="4"/>
  <c r="H69" i="4"/>
  <c r="J174" i="4"/>
  <c r="J78" i="4"/>
  <c r="K196" i="4"/>
  <c r="K172" i="4"/>
  <c r="K148" i="4"/>
  <c r="K124" i="4"/>
  <c r="K100" i="4"/>
  <c r="K76" i="4"/>
  <c r="K52" i="4"/>
  <c r="K28" i="4"/>
  <c r="L200" i="4"/>
  <c r="L176" i="4"/>
  <c r="L152" i="4"/>
  <c r="L128" i="4"/>
  <c r="L104" i="4"/>
  <c r="L80" i="4"/>
  <c r="L56" i="4"/>
  <c r="L32" i="4"/>
  <c r="L8" i="4"/>
  <c r="H53" i="4"/>
  <c r="J172" i="4"/>
  <c r="J76" i="4"/>
  <c r="K75" i="4"/>
  <c r="K51" i="4"/>
  <c r="K27" i="4"/>
  <c r="L199" i="4"/>
  <c r="L175" i="4"/>
  <c r="L151" i="4"/>
  <c r="L127" i="4"/>
  <c r="L103" i="4"/>
  <c r="L79" i="4"/>
  <c r="L55" i="4"/>
  <c r="L31" i="4"/>
  <c r="L7" i="4"/>
  <c r="J6" i="4"/>
  <c r="L6" i="4"/>
  <c r="H6" i="4"/>
  <c r="H99" i="4"/>
  <c r="J99" i="4"/>
  <c r="H18" i="4"/>
  <c r="H193" i="4"/>
  <c r="H169" i="4"/>
  <c r="H145" i="4"/>
  <c r="H121" i="4"/>
  <c r="J194" i="4"/>
  <c r="J170" i="4"/>
  <c r="J146" i="4"/>
  <c r="J122" i="4"/>
  <c r="H188" i="4"/>
  <c r="H164" i="4"/>
  <c r="H140" i="4"/>
  <c r="H116" i="4"/>
  <c r="H92" i="4"/>
  <c r="H68" i="4"/>
  <c r="H44" i="4"/>
  <c r="H20" i="4"/>
  <c r="H187" i="4"/>
  <c r="H163" i="4"/>
  <c r="H139" i="4"/>
  <c r="H115" i="4"/>
  <c r="H91" i="4"/>
  <c r="H67" i="4"/>
  <c r="H43" i="4"/>
  <c r="H19" i="4"/>
  <c r="H186" i="4"/>
  <c r="H162" i="4"/>
  <c r="H138" i="4"/>
  <c r="H114" i="4"/>
  <c r="H90" i="4"/>
  <c r="H66" i="4"/>
  <c r="H42" i="4"/>
  <c r="H185" i="4"/>
  <c r="H161" i="4"/>
  <c r="H137" i="4"/>
  <c r="H113" i="4"/>
  <c r="H89" i="4"/>
  <c r="H65" i="4"/>
  <c r="H41" i="4"/>
  <c r="H17" i="4"/>
  <c r="H184" i="4"/>
  <c r="H160" i="4"/>
  <c r="H136" i="4"/>
  <c r="H112" i="4"/>
  <c r="H88" i="4"/>
  <c r="H64" i="4"/>
  <c r="H40" i="4"/>
  <c r="H16" i="4"/>
  <c r="H183" i="4"/>
  <c r="H159" i="4"/>
  <c r="H135" i="4"/>
  <c r="H111" i="4"/>
  <c r="H87" i="4"/>
  <c r="H63" i="4"/>
  <c r="H39" i="4"/>
  <c r="H15" i="4"/>
  <c r="H182" i="4"/>
  <c r="H158" i="4"/>
  <c r="H134" i="4"/>
  <c r="H110" i="4"/>
  <c r="H86" i="4"/>
  <c r="H62" i="4"/>
  <c r="H38" i="4"/>
  <c r="H14" i="4"/>
  <c r="H9" i="4"/>
  <c r="H181" i="4"/>
  <c r="H157" i="4"/>
  <c r="H133" i="4"/>
  <c r="H109" i="4"/>
  <c r="H61" i="4"/>
  <c r="H37" i="4"/>
  <c r="H13" i="4"/>
  <c r="H8" i="4"/>
  <c r="H156" i="4"/>
  <c r="H132" i="4"/>
  <c r="H108" i="4"/>
  <c r="H84" i="4"/>
  <c r="H60" i="4"/>
  <c r="H36" i="4"/>
  <c r="H12" i="4"/>
  <c r="H7" i="4"/>
  <c r="H179" i="4"/>
  <c r="H155" i="4"/>
  <c r="H131" i="4"/>
  <c r="H107" i="4"/>
  <c r="H83" i="4"/>
  <c r="H59" i="4"/>
  <c r="H35" i="4"/>
  <c r="H11" i="4"/>
  <c r="H178" i="4"/>
  <c r="H154" i="4"/>
  <c r="H130" i="4"/>
  <c r="H106" i="4"/>
  <c r="H82" i="4"/>
  <c r="H58" i="4"/>
  <c r="H34" i="4"/>
  <c r="H10" i="4"/>
  <c r="H177" i="4"/>
  <c r="H153" i="4"/>
  <c r="H129" i="4"/>
  <c r="H105" i="4"/>
  <c r="H81" i="4"/>
  <c r="H57" i="4"/>
  <c r="H33" i="4"/>
  <c r="H200" i="4"/>
  <c r="H176" i="4"/>
  <c r="H152" i="4"/>
  <c r="H128" i="4"/>
  <c r="H104" i="4"/>
  <c r="H80" i="4"/>
  <c r="H56" i="4"/>
  <c r="H32" i="4"/>
  <c r="H199" i="4"/>
  <c r="H175" i="4"/>
  <c r="H151" i="4"/>
  <c r="H127" i="4"/>
  <c r="H103" i="4"/>
  <c r="H79" i="4"/>
  <c r="H55" i="4"/>
  <c r="H31" i="4"/>
  <c r="E202" i="4"/>
  <c r="E15" i="1"/>
  <c r="E14" i="1"/>
  <c r="E13" i="1"/>
  <c r="B26" i="1"/>
  <c r="E26" i="1"/>
  <c r="B27" i="1"/>
  <c r="D13" i="11"/>
  <c r="E14" i="11"/>
  <c r="D16" i="11"/>
  <c r="E15" i="11"/>
  <c r="D7" i="11"/>
  <c r="E11" i="11"/>
  <c r="D8" i="11"/>
  <c r="D17" i="11"/>
  <c r="E12" i="11"/>
  <c r="E6" i="11"/>
  <c r="C18" i="11"/>
  <c r="E18" i="11"/>
  <c r="E9" i="11"/>
  <c r="D10" i="11"/>
  <c r="D18" i="11"/>
</calcChain>
</file>

<file path=xl/sharedStrings.xml><?xml version="1.0" encoding="utf-8"?>
<sst xmlns="http://schemas.openxmlformats.org/spreadsheetml/2006/main" count="836" uniqueCount="586">
  <si>
    <t>Auto-updated from other sheets. Yellow cells are manual entries.</t>
  </si>
  <si>
    <t>Vehicle Status</t>
  </si>
  <si>
    <t>Spend (Year to Date)</t>
  </si>
  <si>
    <t>Registration</t>
  </si>
  <si>
    <t>BT53 AKJ</t>
  </si>
  <si>
    <t>Total spend YTD</t>
  </si>
  <si>
    <t>Current mileage (manual)</t>
  </si>
  <si>
    <t>Update after each fill-up</t>
  </si>
  <si>
    <t>Fuel YTD</t>
  </si>
  <si>
    <t>Latest logged mileage</t>
  </si>
  <si>
    <t>Max across fuel/tyre/wash logs</t>
  </si>
  <si>
    <t>Service &amp; repairs YTD</t>
  </si>
  <si>
    <t>Miles since purchase</t>
  </si>
  <si>
    <t>Insurance + tax + MOT YTD</t>
  </si>
  <si>
    <t>Total spend since purchase</t>
  </si>
  <si>
    <t>Renewals &amp; Due Dates</t>
  </si>
  <si>
    <t>Cost per mile (since purchase)</t>
  </si>
  <si>
    <t>MOT expiry</t>
  </si>
  <si>
    <t>Days to MOT</t>
  </si>
  <si>
    <t>Fuel Economy</t>
  </si>
  <si>
    <t>Insurance expiry</t>
  </si>
  <si>
    <t>Average MPG</t>
  </si>
  <si>
    <t>Days to insurance renewal</t>
  </si>
  <si>
    <t>Best MPG</t>
  </si>
  <si>
    <t>Road tax expiry</t>
  </si>
  <si>
    <t>Verify at gov.uk/check-vehicle-tax</t>
  </si>
  <si>
    <t>Worst MPG</t>
  </si>
  <si>
    <t>Days to tax renewal</t>
  </si>
  <si>
    <t>Total litres pumped</t>
  </si>
  <si>
    <t>Next service target (date)</t>
  </si>
  <si>
    <t>Avg price per litre</t>
  </si>
  <si>
    <t>Next service target (miles)</t>
  </si>
  <si>
    <t>Last fill date</t>
  </si>
  <si>
    <t>Action Items</t>
  </si>
  <si>
    <t>Open DIY tasks</t>
  </si>
  <si>
    <t>In-progress DIY</t>
  </si>
  <si>
    <t>Open workshop tasks</t>
  </si>
  <si>
    <t>Scheduled workshop tasks</t>
  </si>
  <si>
    <t>High-priority open (DIY+Workshop)</t>
  </si>
  <si>
    <t>Open issues on watchlist</t>
  </si>
  <si>
    <t>Regular Checks Status</t>
  </si>
  <si>
    <t>Checks overdue</t>
  </si>
  <si>
    <t>Checks due soon</t>
  </si>
  <si>
    <t>Checks OK</t>
  </si>
  <si>
    <t>Last wash</t>
  </si>
  <si>
    <t>Days since last wash</t>
  </si>
  <si>
    <t>Last tyre check</t>
  </si>
  <si>
    <t>Vehicle Information &amp; Reference</t>
  </si>
  <si>
    <t>Static reference data. Update only when things actually change.</t>
  </si>
  <si>
    <t>Identification</t>
  </si>
  <si>
    <t>Registration number</t>
  </si>
  <si>
    <t>Make</t>
  </si>
  <si>
    <t>Land Rover</t>
  </si>
  <si>
    <t>Model</t>
  </si>
  <si>
    <t>Freelander 1 — 1.8 SE Station Wagon 5dr</t>
  </si>
  <si>
    <t>Year / registration</t>
  </si>
  <si>
    <t>2003 (53 reg)</t>
  </si>
  <si>
    <t>Colour</t>
  </si>
  <si>
    <t>Navy Blue</t>
  </si>
  <si>
    <t>Body</t>
  </si>
  <si>
    <t>5-door SUV</t>
  </si>
  <si>
    <t>V5C document reference</t>
  </si>
  <si>
    <t>26005 504 9307</t>
  </si>
  <si>
    <t>From new keeper slip</t>
  </si>
  <si>
    <t>Date of purchase</t>
  </si>
  <si>
    <t>14 March 2026</t>
  </si>
  <si>
    <t>Per user record</t>
  </si>
  <si>
    <t>Purchased from</t>
  </si>
  <si>
    <t>Lee (private sale), Purley</t>
  </si>
  <si>
    <t>Purchase price</t>
  </si>
  <si>
    <t>Purchase mileage</t>
  </si>
  <si>
    <t>76,632 mi</t>
  </si>
  <si>
    <t>Engine &amp; Drivetrain</t>
  </si>
  <si>
    <t>Engine</t>
  </si>
  <si>
    <t>Rover K-series 1.8 petrol</t>
  </si>
  <si>
    <t>Known for head gasket issues - monitor</t>
  </si>
  <si>
    <t>Engine size</t>
  </si>
  <si>
    <t>1796 cc</t>
  </si>
  <si>
    <t>Fuel type</t>
  </si>
  <si>
    <t>Petrol - E10 unleaded</t>
  </si>
  <si>
    <t>Gearbox</t>
  </si>
  <si>
    <t>Manual 5-speed</t>
  </si>
  <si>
    <t>Drivetrain</t>
  </si>
  <si>
    <t>AWD via viscous coupling (VCU)</t>
  </si>
  <si>
    <t>Test on tight turns - no shudder good</t>
  </si>
  <si>
    <t>Fuel tank capacity</t>
  </si>
  <si>
    <t>61 litres</t>
  </si>
  <si>
    <t>Real-world MPG (mixed)</t>
  </si>
  <si>
    <t>Confirmed on first fill</t>
  </si>
  <si>
    <t>Estimated range per tank</t>
  </si>
  <si>
    <t>~350-380 miles</t>
  </si>
  <si>
    <t>Immobiliser</t>
  </si>
  <si>
    <t>Engine immobiliser (factory)</t>
  </si>
  <si>
    <t>Fluids &amp; Specs (verify in handbook)</t>
  </si>
  <si>
    <t>Engine oil spec</t>
  </si>
  <si>
    <t>K-series - verify in handbook</t>
  </si>
  <si>
    <t>Engine oil capacity</t>
  </si>
  <si>
    <t>~4.5 L with filter</t>
  </si>
  <si>
    <t>Approximate - verify</t>
  </si>
  <si>
    <t>Coolant spec</t>
  </si>
  <si>
    <t>OAT coolant (red/pink), e.g. Havoline XLC</t>
  </si>
  <si>
    <t>IMPORTANT: K-series needs OAT - do not mix with blue/green IAT</t>
  </si>
  <si>
    <t>Coolant capacity</t>
  </si>
  <si>
    <t>~7 litres</t>
  </si>
  <si>
    <t>Brake fluid</t>
  </si>
  <si>
    <t>DOT 4</t>
  </si>
  <si>
    <t>Transmission oil</t>
  </si>
  <si>
    <t>MTF 94 (manual gearbox)</t>
  </si>
  <si>
    <t>Verify spec</t>
  </si>
  <si>
    <t>Spark plug type</t>
  </si>
  <si>
    <t>Check handbook</t>
  </si>
  <si>
    <t>Gap and torque per handbook</t>
  </si>
  <si>
    <t>Air filter part #</t>
  </si>
  <si>
    <t>TBD</t>
  </si>
  <si>
    <t>Log when first replaced</t>
  </si>
  <si>
    <t>Oil filter part #</t>
  </si>
  <si>
    <t>Tyres (verify from door jamb sticker)</t>
  </si>
  <si>
    <t>Tyre size</t>
  </si>
  <si>
    <t>215/65 R16 (common OE for 1.8 SE)</t>
  </si>
  <si>
    <t>Check sidewall of fitted tyres</t>
  </si>
  <si>
    <t>Recommended pressure - normal load front</t>
  </si>
  <si>
    <t>Verify from door jamb sticker / handbook</t>
  </si>
  <si>
    <t>Recommended pressure - normal load rear</t>
  </si>
  <si>
    <t>Recommended pressure - full load front</t>
  </si>
  <si>
    <t>Recommended pressure - full load rear</t>
  </si>
  <si>
    <t>Minimum legal tread (UK)</t>
  </si>
  <si>
    <t>1.6 mm across central 3/4</t>
  </si>
  <si>
    <t>Replace at 3 mm for safety margin</t>
  </si>
  <si>
    <t>Spare tyre</t>
  </si>
  <si>
    <t>Full-size on rear door</t>
  </si>
  <si>
    <t>Check pressure quarterly</t>
  </si>
  <si>
    <t>Statutory &amp; Insurance</t>
  </si>
  <si>
    <t>6 August 2026</t>
  </si>
  <si>
    <t>Last test 17 Jul 2025 at 76,632 mi - Pass</t>
  </si>
  <si>
    <t>Road tax (VED)</t>
  </si>
  <si>
    <t>£430/year</t>
  </si>
  <si>
    <t>Verify expiry at gov.uk/check-vehicle-tax</t>
  </si>
  <si>
    <t>ULEZ status</t>
  </si>
  <si>
    <t>Compliant (via TfL checker)</t>
  </si>
  <si>
    <t>Listed as Euro 3 but passes</t>
  </si>
  <si>
    <t>Insurance - insurer</t>
  </si>
  <si>
    <t>Admiral (EUI Ltd)</t>
  </si>
  <si>
    <t>Insurance - policy number</t>
  </si>
  <si>
    <t>P77904683</t>
  </si>
  <si>
    <t>Insurance - period</t>
  </si>
  <si>
    <t>15/03/2026 - 15/03/2027</t>
  </si>
  <si>
    <t>Insurance - type</t>
  </si>
  <si>
    <t>Comprehensive, Social/Domestic/Pleasure</t>
  </si>
  <si>
    <t>Insurance - annual premium</t>
  </si>
  <si>
    <t>Includes £38.35 AA roadside</t>
  </si>
  <si>
    <t>Insurance - standard excess</t>
  </si>
  <si>
    <t>£250 (£100 compulsory + £150 voluntary)</t>
  </si>
  <si>
    <t>Over-25 with 1+ yr full UK licence</t>
  </si>
  <si>
    <t>Insurance - windscreen excess</t>
  </si>
  <si>
    <t>£115 replace / £25 repair</t>
  </si>
  <si>
    <t>Insurance - fire/theft excess</t>
  </si>
  <si>
    <t>NCB years</t>
  </si>
  <si>
    <t>Max possible: 5 years</t>
  </si>
  <si>
    <t>Breakdown cover</t>
  </si>
  <si>
    <t>AA Roadside (included in Admiral policy)</t>
  </si>
  <si>
    <t>Upgrade to Home Start £95.45/yr if wanted</t>
  </si>
  <si>
    <t>Primary garage</t>
  </si>
  <si>
    <t>WCarey Motor Engineers</t>
  </si>
  <si>
    <t>Garage address</t>
  </si>
  <si>
    <t>1-3 Old Woking Road, West Byfleet, KT14 6LW</t>
  </si>
  <si>
    <t>Garage phone</t>
  </si>
  <si>
    <t>01932 341 073</t>
  </si>
  <si>
    <t>Garage notes</t>
  </si>
  <si>
    <t>AA breakdown number</t>
  </si>
  <si>
    <t>0800 88 77 66</t>
  </si>
  <si>
    <t>Admiral claims line</t>
  </si>
  <si>
    <t>0333 220 2000</t>
  </si>
  <si>
    <t>Admiral customer service</t>
  </si>
  <si>
    <t>Parking</t>
  </si>
  <si>
    <t>Primary overnight</t>
  </si>
  <si>
    <t>Building compound, Surbiton KT6</t>
  </si>
  <si>
    <t>Overflow</t>
  </si>
  <si>
    <t>Station car park (RingGo, CCTV), 2 mins away</t>
  </si>
  <si>
    <t>Kept overnight (insurance)</t>
  </si>
  <si>
    <t>Public Car Park</t>
  </si>
  <si>
    <t>Per policy schedule</t>
  </si>
  <si>
    <t>Expenses Log</t>
  </si>
  <si>
    <t>Every expense goes here. Feeds Dashboard and Budget. Use the Category column strictly as listed.</t>
  </si>
  <si>
    <t>Date</t>
  </si>
  <si>
    <t>Category</t>
  </si>
  <si>
    <t>Sub-category</t>
  </si>
  <si>
    <t>Vendor</t>
  </si>
  <si>
    <t>Amount (£)</t>
  </si>
  <si>
    <t>Mileage</t>
  </si>
  <si>
    <t>Payment Method</t>
  </si>
  <si>
    <t>Notes</t>
  </si>
  <si>
    <t>Categories (use exactly)</t>
  </si>
  <si>
    <t>Purchase</t>
  </si>
  <si>
    <t>Vehicle purchase</t>
  </si>
  <si>
    <t>Lee (private)</t>
  </si>
  <si>
    <t>Bank transfer</t>
  </si>
  <si>
    <t>Purchase price, £50 off asking</t>
  </si>
  <si>
    <t>Fuel</t>
  </si>
  <si>
    <t>Insurance</t>
  </si>
  <si>
    <t>Annual premium</t>
  </si>
  <si>
    <t>Admiral / EUI Ltd</t>
  </si>
  <si>
    <t>Credit card</t>
  </si>
  <si>
    <t>Policy P77904683, 15/03/26 - 15/03/27, includes AA roadside £38.35</t>
  </si>
  <si>
    <t>Service</t>
  </si>
  <si>
    <t>Tax</t>
  </si>
  <si>
    <t>Road tax (VED) 12 mo</t>
  </si>
  <si>
    <t>DVLA</t>
  </si>
  <si>
    <t>Direct debit</t>
  </si>
  <si>
    <t>Verify actual payment method/date</t>
  </si>
  <si>
    <t>Repair</t>
  </si>
  <si>
    <t>Parts</t>
  </si>
  <si>
    <t>MOT</t>
  </si>
  <si>
    <t>Wash</t>
  </si>
  <si>
    <t>Tools/Equipment</t>
  </si>
  <si>
    <t>Breakdown</t>
  </si>
  <si>
    <t>Misc</t>
  </si>
  <si>
    <t>TOTALS</t>
  </si>
  <si>
    <t>Fuel Log &amp; MPG Tracking</t>
  </si>
  <si>
    <t>Fill in date, mileage, litres, price/L. Total, miles since last, and MPG calculate automatically.</t>
  </si>
  <si>
    <t>Tip: mirror each entry to Expenses Log under Category = Fuel.</t>
  </si>
  <si>
    <t>Litres</t>
  </si>
  <si>
    <t>Price/L (£)</t>
  </si>
  <si>
    <t>Total (£)</t>
  </si>
  <si>
    <t>Miles since last</t>
  </si>
  <si>
    <t>MPG (UK)</t>
  </si>
  <si>
    <t>Station</t>
  </si>
  <si>
    <t>SUMMARY</t>
  </si>
  <si>
    <t>Service &amp; Maintenance History</t>
  </si>
  <si>
    <t>Permanent service record. Keep the Next Due (miles/date) columns filled so Dashboard can flag upcoming services.</t>
  </si>
  <si>
    <t>Type</t>
  </si>
  <si>
    <t>Garage</t>
  </si>
  <si>
    <t>Work Done</t>
  </si>
  <si>
    <t>Parts Replaced</t>
  </si>
  <si>
    <t>Cost (£)</t>
  </si>
  <si>
    <t>Next Due (miles)</t>
  </si>
  <si>
    <t>Next Due (date)</t>
  </si>
  <si>
    <t>MOT Test</t>
  </si>
  <si>
    <t>Unknown (pre-ownership)</t>
  </si>
  <si>
    <t>MOT test - Passed</t>
  </si>
  <si>
    <t>Advisories: oil leak (minor, recurring since 2024 - likely cam seals); brake pipe corrosion both sides (recurring since 2024, advisory not failure); central stop lamp not working.</t>
  </si>
  <si>
    <t>Pre-purchase check</t>
  </si>
  <si>
    <t>Self (at viewing)</t>
  </si>
  <si>
    <t>Oil cap underside clean, coolant clean, no head gasket warning signs. VCU tested on tight turns - no shuddering.</t>
  </si>
  <si>
    <t>Purchase inspection. K-series HG history unknown per seller.</t>
  </si>
  <si>
    <t>TOTAL SPENT</t>
  </si>
  <si>
    <t>DIY Tasks</t>
  </si>
  <si>
    <t>Things you can tackle yourself. Set Status to Open / In Progress / Done. Priority: High / Medium / Low.</t>
  </si>
  <si>
    <t>Priority</t>
  </si>
  <si>
    <t>Task</t>
  </si>
  <si>
    <t>Description</t>
  </si>
  <si>
    <t>Est. Cost (£)</t>
  </si>
  <si>
    <t>Status</t>
  </si>
  <si>
    <t>Target Date</t>
  </si>
  <si>
    <t>Completed Date</t>
  </si>
  <si>
    <t>High</t>
  </si>
  <si>
    <t>Replace fuel cap</t>
  </si>
  <si>
    <t>Current temporary cap is a broken flexi cap (plastic locking tabs snapped). Order proper replacement.</t>
  </si>
  <si>
    <t>Open</t>
  </si>
  <si>
    <t>Search "Freelander 1 fuel cap" on eBay/Amazon - expect £5-15.</t>
  </si>
  <si>
    <t>Order NOCO Genius5 charger/maintainer</t>
  </si>
  <si>
    <t>Battery maintainer for extended parked periods. ~£65-80.</t>
  </si>
  <si>
    <t>Amazon.</t>
  </si>
  <si>
    <t>Order NOCO Boost GB40 jump starter</t>
  </si>
  <si>
    <t>Portable jump pack for emergencies. ~£80-100.</t>
  </si>
  <si>
    <t>Medium</t>
  </si>
  <si>
    <t>Investigate instrument cluster backlight</t>
  </si>
  <si>
    <t>Speedometer/instrument cluster backlight not working. Check fuse first (likely labelled in handbook), then consider pulling cluster for bulb replacement - can be DIY but fiddly.</t>
  </si>
  <si>
    <t>If too fiddly, leave for WCarey. Estimated £30-50 at garage.</t>
  </si>
  <si>
    <t>Low</t>
  </si>
  <si>
    <t>Check all exterior lights weekly</t>
  </si>
  <si>
    <t>Walk-around check: headlights (main + dip), indicators (front/rear/side), brake lights (all 3), reversing, number plate, fog lights.</t>
  </si>
  <si>
    <t>Ongoing - log in Regular Checks.</t>
  </si>
  <si>
    <t>Clean leather seats</t>
  </si>
  <si>
    <t>Interior is cream leather - needs leather cleaner + conditioner.</t>
  </si>
  <si>
    <t>Buy Gliptone Liquid Leather or similar.</t>
  </si>
  <si>
    <t>Top up windscreen washer fluid</t>
  </si>
  <si>
    <t>Check reservoir and top up with screenwash (concentrated + water).</t>
  </si>
  <si>
    <t>Check mix ratio for summer/winter protection.</t>
  </si>
  <si>
    <t>Photograph current condition for records</t>
  </si>
  <si>
    <t>Full photoset of exterior, interior, wheels, under bonnet, underneath. Useful for insurance claims and before/after repairs.</t>
  </si>
  <si>
    <t>Store with other vehicle documents.</t>
  </si>
  <si>
    <t>Total estimated cost (Open + In Progress)</t>
  </si>
  <si>
    <t>Workshop Tasks (WCarey &amp; others)</t>
  </si>
  <si>
    <t>Jobs for the garage. Bundle these into service visits to save on labour.</t>
  </si>
  <si>
    <t>Target Service</t>
  </si>
  <si>
    <t>Full service</t>
  </si>
  <si>
    <t>Engine oil + filter, air filter, fuel filter, spark plugs. Baseline service post-purchase.</t>
  </si>
  <si>
    <t>Establish baseline. Get itemised quote. May 2026 booking.</t>
  </si>
  <si>
    <t>Head gasket assessment</t>
  </si>
  <si>
    <t>Compression test and/or sniff test to detect combustion gases in coolant. K-series is notorious - worth a preventative check early in ownership.</t>
  </si>
  <si>
    <t>Inspect cam seals (oil leak)</t>
  </si>
  <si>
    <t>Advisory recurring since 2024 MOT. Confirm source of leak - likely cam seals per friend. Reseal if confirmed.</t>
  </si>
  <si>
    <t>Inspect brake pipe corrosion (advisory)</t>
  </si>
  <si>
    <t>Both sides - advisory since 2024. Needs proper inspection - if any are perished, replace before next MOT (Aug 2026).</t>
  </si>
  <si>
    <t>If still only surface corrosion, wire brush + anti-rust treatment may buy time. Replace if pitted.</t>
  </si>
  <si>
    <t>AC system check</t>
  </si>
  <si>
    <t>Ahead of summer - check refrigerant charge, condenser, cabin filter. Re-gas if needed.</t>
  </si>
  <si>
    <t>VCU condition check</t>
  </si>
  <si>
    <t>Viscous Coupling Unit health check. Known weak point on Freelander 1 - can seize and destroy IRD/rear diff.</t>
  </si>
  <si>
    <t>Ask for their assessment. Replacement VCU ~£150-250 + labour.</t>
  </si>
  <si>
    <t>Check coolant condition and top-up with OAT</t>
  </si>
  <si>
    <t>K-series needs OAT coolant (red/pink) - verify current fluid and flush/refill if wrong type or old.</t>
  </si>
  <si>
    <t>Critical for head gasket longevity.</t>
  </si>
  <si>
    <t>Check brake fluid condition</t>
  </si>
  <si>
    <t>Brake fluid absorbs moisture over time. Test with moisture meter, flush if needed.</t>
  </si>
  <si>
    <t>Bundle with service visit.</t>
  </si>
  <si>
    <t>Total estimated cost (Open + Scheduled)</t>
  </si>
  <si>
    <t>Regular Inspection Checks</t>
  </si>
  <si>
    <t>Update "Last Done" and the sheet tells you when the next one is due and if you are overdue.</t>
  </si>
  <si>
    <t>Check</t>
  </si>
  <si>
    <t>Cadence</t>
  </si>
  <si>
    <t>Interval (days)</t>
  </si>
  <si>
    <t>Last Done</t>
  </si>
  <si>
    <t>Next Due</t>
  </si>
  <si>
    <t>Last Result / Notes</t>
  </si>
  <si>
    <t>Oil filler cap underside (mayo/creamy residue check)</t>
  </si>
  <si>
    <t>Weekly</t>
  </si>
  <si>
    <t>No residue = healthy. Any creamy white/yellow = possible head gasket issue.</t>
  </si>
  <si>
    <t>Coolant reservoir colour &amp; level</t>
  </si>
  <si>
    <t>Should be clean red/pink (OAT). Brown/oily/milky = head gasket concern.</t>
  </si>
  <si>
    <t>Windscreen washer fluid</t>
  </si>
  <si>
    <t>Top up with screenwash mix.</t>
  </si>
  <si>
    <t>Visual tyre check (cuts, bulges, unusual wear)</t>
  </si>
  <si>
    <t>Walk-around visual only. Proper pressure/tread check is monthly/quarterly.</t>
  </si>
  <si>
    <t>Dashboard warning lights (on start)</t>
  </si>
  <si>
    <t>Mental note on startup - any warning light that stays on post-start needs action.</t>
  </si>
  <si>
    <t>All exterior lights walk-around</t>
  </si>
  <si>
    <t>Monthly</t>
  </si>
  <si>
    <t>Head, dip, main beam, indicators (F/R/side), brake (all 3 incl central), reversing, number plate, fog.</t>
  </si>
  <si>
    <t>Engine oil level (dipstick)</t>
  </si>
  <si>
    <t>Cold engine, level surface, wipe and re-dip. Between MIN and MAX.</t>
  </si>
  <si>
    <t>Tyre pressures (all 4 + spare)</t>
  </si>
  <si>
    <t>Cold tyres. Log values in Tyre Log sheet. Include spare.</t>
  </si>
  <si>
    <t>Battery terminals (corrosion check)</t>
  </si>
  <si>
    <t>Check for green/white deposits. Clean if needed.</t>
  </si>
  <si>
    <t>Under-bonnet visual scan</t>
  </si>
  <si>
    <t>Look for new oil spots, coolant drips, loose hoses, anything unusual.</t>
  </si>
  <si>
    <t>Tread depth (proper gauge)</t>
  </si>
  <si>
    <t>Quarterly</t>
  </si>
  <si>
    <t>Log in Tyre Log. Minimum legal 1.6 mm - replace at 3 mm.</t>
  </si>
  <si>
    <t>Brake fluid level</t>
  </si>
  <si>
    <t>Check reservoir - between MIN and MAX. Dark brown fluid = flush due.</t>
  </si>
  <si>
    <t>Coolant level (cold)</t>
  </si>
  <si>
    <t>Never open when hot. Between MIN and MAX on reservoir.</t>
  </si>
  <si>
    <t>Wiper blades condition</t>
  </si>
  <si>
    <t>Streaks, tears, juddering = replace. Front + rear.</t>
  </si>
  <si>
    <t>Under-body visual (fluid leaks)</t>
  </si>
  <si>
    <t>Drive onto ramps or use torch from ground. Look for fresh oil/coolant/brake fluid.</t>
  </si>
  <si>
    <t>Door/boot seals &amp; hinges lubrication</t>
  </si>
  <si>
    <t>Every 6 months</t>
  </si>
  <si>
    <t>Silicone spray on rubber seals, white lithium grease on hinges/latches.</t>
  </si>
  <si>
    <t>Spare tyre pressure</t>
  </si>
  <si>
    <t>Headlight alignment (visual)</t>
  </si>
  <si>
    <t>Yearly</t>
  </si>
  <si>
    <t>Park 5m from a wall, compare left/right beam heights.</t>
  </si>
  <si>
    <t>Tyre Pressure &amp; Tread Log</t>
  </si>
  <si>
    <t>Log pressures (PSI, cold) and tread depths (mm) per corner. Note any uneven wear.</t>
  </si>
  <si>
    <t>Target: Front 26 PSI / Rear 30 PSI (normal load) — VERIFY from door jamb sticker.</t>
  </si>
  <si>
    <t>FL PSI</t>
  </si>
  <si>
    <t>FR PSI</t>
  </si>
  <si>
    <t>RL PSI</t>
  </si>
  <si>
    <t>RR PSI</t>
  </si>
  <si>
    <t>Spare PSI</t>
  </si>
  <si>
    <t>FL Tread (mm)</t>
  </si>
  <si>
    <t>FR Tread (mm)</t>
  </si>
  <si>
    <t>RL Tread (mm)</t>
  </si>
  <si>
    <t>RR Tread (mm)</t>
  </si>
  <si>
    <t>Location/Tool</t>
  </si>
  <si>
    <t>Wash Log</t>
  </si>
  <si>
    <t>Target cadence: every 3-4 weeks minimum (more often in winter road-salt season).</t>
  </si>
  <si>
    <t>Location</t>
  </si>
  <si>
    <t>Wash locations</t>
  </si>
  <si>
    <t>Power Foam - Shannon Corner, New Malden KT3 6HF (24 hrs, closest)</t>
  </si>
  <si>
    <t>BP Car Wash - Ewell KT17 (enclosed bay, 3.8/5, 30% off with BP reward)</t>
  </si>
  <si>
    <t>Shell Jet Wash - Cobham (good reviews, quieter, on route to WCarey)</t>
  </si>
  <si>
    <t>Home driveway (if available)</t>
  </si>
  <si>
    <t>Annual Budget vs Actual</t>
  </si>
  <si>
    <t>Edit the yellow Annual Budget column. Actual pulls from Expenses Log automatically.</t>
  </si>
  <si>
    <t>YTD uses current calendar year. Period covered: {year}.</t>
  </si>
  <si>
    <t>Annual Budget (£)</t>
  </si>
  <si>
    <t>YTD Actual (£)</t>
  </si>
  <si>
    <t>Remaining (£)</t>
  </si>
  <si>
    <t>% Used</t>
  </si>
  <si>
    <t>Contingency for brake pipes, cam seals etc</t>
  </si>
  <si>
    <t>DIY parts (fuel cap, bulbs, filters if DIY)</t>
  </si>
  <si>
    <t>Admiral policy</t>
  </si>
  <si>
    <t>VED annual</t>
  </si>
  <si>
    <t>Next MOT due Aug 2026 (£54.85 max fee)</t>
  </si>
  <si>
    <t>~£10/month</t>
  </si>
  <si>
    <t>Contingency</t>
  </si>
  <si>
    <t>Included in Admiral - upgrade £95.45/yr for Home Start</t>
  </si>
  <si>
    <t>Buffer</t>
  </si>
  <si>
    <t>TOTAL</t>
  </si>
  <si>
    <t>Per-mile analysis</t>
  </si>
  <si>
    <t>Budgeted cost per mile</t>
  </si>
  <si>
    <t>Known Issues Watchlist</t>
  </si>
  <si>
    <t>Track deterioration of known weak points. Update Status and Observations over time.</t>
  </si>
  <si>
    <t>Issue</t>
  </si>
  <si>
    <t>Severity</t>
  </si>
  <si>
    <t>First Noted</t>
  </si>
  <si>
    <t>Last Checked</t>
  </si>
  <si>
    <t>Current Observation</t>
  </si>
  <si>
    <t>Est. Cost to Fix</t>
  </si>
  <si>
    <t>Critical</t>
  </si>
  <si>
    <t>No signs at purchase: oil cap clean, coolant clean, no overheating.</t>
  </si>
  <si>
    <t>Stop driving immediately if temp gauge rises. Book HG replacement. Parts ~£70-100 if friend does labour, workshop £400-700+.</t>
  </si>
  <si>
    <t>Monitoring</t>
  </si>
  <si>
    <t>Oil leak (likely cam seals)</t>
  </si>
  <si>
    <t>Minor leak, recurring MOT advisory since 2024. Typical K-series per friend.</t>
  </si>
  <si>
    <t>Re-seal cam seals at service. ~£80 labour.</t>
  </si>
  <si>
    <t>Brake pipe corrosion (both sides)</t>
  </si>
  <si>
    <t>Advisory recurring since 2024 MOTs. Not failure yet.</t>
  </si>
  <si>
    <t>Workshop inspection. Replace if pitted. Wire brush + rust treat if only surface.</t>
  </si>
  <si>
    <t>Tested at purchase - no shuddering on tight turns. Healthy for now.</t>
  </si>
  <si>
    <t>Can seize and destroy IRD + rear diff. Replace preventatively if any signs of binding.</t>
  </si>
  <si>
    <t>Central stop lamp not working</t>
  </si>
  <si>
    <t>Advisory since 2024 MOT. Likely corroded contacts per friend.</t>
  </si>
  <si>
    <t>DIY clean contacts or replace bulb. Trivial fix.</t>
  </si>
  <si>
    <t>Instrument cluster backlight</t>
  </si>
  <si>
    <t>Speedometer backlight not illuminating. £50 off purchase price for this.</t>
  </si>
  <si>
    <t>Check fuse first, then bulbs behind cluster. DIY or workshop £30-50.</t>
  </si>
  <si>
    <t>Fuel cap (temporary fix)</t>
  </si>
  <si>
    <t>Flexi cap with snapped plastic tabs, on temporary fix.</t>
  </si>
  <si>
    <t>Order proper replacement cap from Amazon/eBay.</t>
  </si>
  <si>
    <t>Tyre condition - front</t>
  </si>
  <si>
    <t>Not measured yet. Log in Tyre Log.</t>
  </si>
  <si>
    <t>Replace pair if tread &lt;3mm or aged &gt;6 years.</t>
  </si>
  <si>
    <t>Tyre condition - rear</t>
  </si>
  <si>
    <t>Rust / bodywork</t>
  </si>
  <si>
    <t>Check regularly, especially sills, wheel arches, rear tailgate hinges.</t>
  </si>
  <si>
    <t>Touch up with paint pen. Underseal if significant.</t>
  </si>
  <si>
    <t>Total potential cost (worst case)</t>
  </si>
  <si>
    <t>Equipment, Tools &amp; Spares Inventory</t>
  </si>
  <si>
    <t>Everything you own for the car. Order needed items (marked "On order" / "To order").</t>
  </si>
  <si>
    <t>Item</t>
  </si>
  <si>
    <t>Purchased</t>
  </si>
  <si>
    <t>Source</t>
  </si>
  <si>
    <t>Where Stored</t>
  </si>
  <si>
    <t>NOCO Genius5 battery charger/maintainer</t>
  </si>
  <si>
    <t>Maintenance</t>
  </si>
  <si>
    <t>Amazon</t>
  </si>
  <si>
    <t>Home / boot</t>
  </si>
  <si>
    <t>To order</t>
  </si>
  <si>
    <t>For extended parked periods. Also rejuvenates aged batteries.</t>
  </si>
  <si>
    <t>NOCO Boost GB40 jump starter pack</t>
  </si>
  <si>
    <t>Emergency</t>
  </si>
  <si>
    <t>Boot</t>
  </si>
  <si>
    <t>Portable jump pack - 12V, up to 6L petrol / 3L diesel.</t>
  </si>
  <si>
    <t>Replacement fuel cap</t>
  </si>
  <si>
    <t>Spare part</t>
  </si>
  <si>
    <t>Amazon / eBay</t>
  </si>
  <si>
    <t>Fitted</t>
  </si>
  <si>
    <t>Search "Freelander 1 fuel cap".</t>
  </si>
  <si>
    <t>Tyre pressure gauge (digital)</t>
  </si>
  <si>
    <t>Tool</t>
  </si>
  <si>
    <t>Amazon / Halfords</t>
  </si>
  <si>
    <t>Glovebox</t>
  </si>
  <si>
    <t>Accurate to 0.5 PSI recommended.</t>
  </si>
  <si>
    <t>Tyre tread depth gauge</t>
  </si>
  <si>
    <t>20p coin works too but gauge is accurate.</t>
  </si>
  <si>
    <t>12V tyre inflator</t>
  </si>
  <si>
    <t>Digital preset if possible.</t>
  </si>
  <si>
    <t>Jump leads (heavy duty)</t>
  </si>
  <si>
    <t>Redundant if GB40 works, but good backup.</t>
  </si>
  <si>
    <t>Warning triangle</t>
  </si>
  <si>
    <t>Safety</t>
  </si>
  <si>
    <t>Legally required in many EU countries, useful at home.</t>
  </si>
  <si>
    <t>Hi-vis vest</t>
  </si>
  <si>
    <t>Driver door pocket</t>
  </si>
  <si>
    <t>Keep in cabin, not boot.</t>
  </si>
  <si>
    <t>First aid kit</t>
  </si>
  <si>
    <t>Boot / glovebox</t>
  </si>
  <si>
    <t>Microfibre cloths (pack)</t>
  </si>
  <si>
    <t>Cleaning</t>
  </si>
  <si>
    <t>Leather cleaner + conditioner</t>
  </si>
  <si>
    <t>Amazon (Gliptone or similar)</t>
  </si>
  <si>
    <t>Home</t>
  </si>
  <si>
    <t>For cream leather interior.</t>
  </si>
  <si>
    <t>Screenwash concentrate</t>
  </si>
  <si>
    <t>Fluid</t>
  </si>
  <si>
    <t>Mix per label - summer/winter dilution differs.</t>
  </si>
  <si>
    <t>Engine oil (5L, 5W-30 or 10W-40)</t>
  </si>
  <si>
    <t>Halfords / Eurocarparts</t>
  </si>
  <si>
    <t>Top-up spare. Match spec to what garage uses.</t>
  </si>
  <si>
    <t>Basic socket set + screwdrivers</t>
  </si>
  <si>
    <t>If not already owned.</t>
  </si>
  <si>
    <t>Torch (LED, rechargeable)</t>
  </si>
  <si>
    <t>For roadside checks at night.</t>
  </si>
  <si>
    <t>Total (owned + on order + to order)</t>
  </si>
  <si>
    <t>Owned only</t>
  </si>
  <si>
    <t>Outstanding spend (to order)</t>
  </si>
  <si>
    <t>Freelander BT53 AKJ - Dashboard</t>
  </si>
  <si>
    <t>£50 off £1,750 asking for hand brake cables/adjustement</t>
  </si>
  <si>
    <t>32 PSI</t>
  </si>
  <si>
    <t>35 PSI</t>
  </si>
  <si>
    <t>Land Rover specialists, ~10 miles from home, free collection/delivery</t>
  </si>
  <si>
    <t>Hand-brake adjustement</t>
  </si>
  <si>
    <t>Self (parking lot)</t>
  </si>
  <si>
    <t>Adjusted the handbrake to lock between 4th and 5th notch, but have not lifter the car up</t>
  </si>
  <si>
    <t>Needs review in the garage</t>
  </si>
  <si>
    <t>Done</t>
  </si>
  <si>
    <t>Amazon, Euro Car Parts, Halfords</t>
  </si>
  <si>
    <t>Running total</t>
  </si>
  <si>
    <t>Shannon Corner</t>
  </si>
  <si>
    <t>Battery maintainer, jump start kit, tyre inflator, scissor jack, fluids, phone holder, storage solution, FM transmitter, cleaning supplies, toolbox, replacement fuses, small bits</t>
  </si>
  <si>
    <t>L/100 KM (EU)</t>
  </si>
  <si>
    <t>Esso Express, Surbiton</t>
  </si>
  <si>
    <t>-</t>
  </si>
  <si>
    <t>Full tank</t>
  </si>
  <si>
    <t>Half</t>
  </si>
  <si>
    <t>Quarter</t>
  </si>
  <si>
    <t>K &amp; P Motors Kingston</t>
  </si>
  <si>
    <t>General check, some repairs, assesment</t>
  </si>
  <si>
    <t>Major service, checks and small repairs</t>
  </si>
  <si>
    <t>Various tools and equipment</t>
  </si>
  <si>
    <t>Surbiton Station Car Park</t>
  </si>
  <si>
    <t>Monthly parking fee</t>
  </si>
  <si>
    <t>Garage repairs</t>
  </si>
  <si>
    <t>eBay</t>
  </si>
  <si>
    <t>Coolant tank replacement</t>
  </si>
  <si>
    <t>Major service</t>
  </si>
  <si>
    <t>Full service: oil + filter, air filter, fuel filter, spark plugs. Inspect brake pipe corrosion advisories. Inspect cam seals (oil leak source). AC check ahead of summer. Head gasket assessment.</t>
  </si>
  <si>
    <t>A/C Recharge
Head gasket leak test
Coolant pressure test
Stop light bulb
Major Service
Passenger side rear Number plate bulb
Reverse light bulb replacement
Driver side rear stop light bulb</t>
  </si>
  <si>
    <t>AC Compressor not working</t>
  </si>
  <si>
    <t>Typical/cheap fix per front cam shaft seal leaking slightly</t>
  </si>
  <si>
    <t>HG test passed per K &amp; P tests, coolant CO2 check passed</t>
  </si>
  <si>
    <t>Electrical fixes</t>
  </si>
  <si>
    <t>Bulbs replaced, but still not working. Central brake light, two reverse indicator lights, number plate lights, AC Compressor busted or not working</t>
  </si>
  <si>
    <t>Power Foam - Shannon Corner</t>
  </si>
  <si>
    <t>Foam wash, full</t>
  </si>
  <si>
    <t>Full service at K &amp; P + consumables</t>
  </si>
  <si>
    <t>Local trusted garage, mechanics, no electric or specialist work, MOTs</t>
  </si>
  <si>
    <t>020 8549 3838 / 07473 652 970</t>
  </si>
  <si>
    <t>Unit 4 Hampden Rd, Kingston upon Thames KT1 3LG, United Kingdom</t>
  </si>
  <si>
    <t>Garages and repairs</t>
  </si>
  <si>
    <t>Support Contacts</t>
  </si>
  <si>
    <t>Owned</t>
  </si>
  <si>
    <t>Resolved</t>
  </si>
  <si>
    <t>Back window sensor/seals/mechanism</t>
  </si>
  <si>
    <t>The window close sensor is forcing it to go down, mechanism or sensor, or seals, or everything together needs a reset or fixes</t>
  </si>
  <si>
    <t>Clean and protect brake pipes</t>
  </si>
  <si>
    <t>Need to wire brush and clean the brake pipes, then grease/paint for protection</t>
  </si>
  <si>
    <t>Axle stands</t>
  </si>
  <si>
    <t>Jack</t>
  </si>
  <si>
    <t>Esso</t>
  </si>
  <si>
    <t>Fuel to date</t>
  </si>
  <si>
    <t>Esso, Avon (Bath)</t>
  </si>
  <si>
    <t>Power Foam</t>
  </si>
  <si>
    <t>Wash to date</t>
  </si>
  <si>
    <t>Petrol additive</t>
  </si>
  <si>
    <t>use AR640 from Dug to clean the fuel system</t>
  </si>
  <si>
    <t>Buy more so can do it again in a few months</t>
  </si>
  <si>
    <t>Ring go parking fee to date</t>
  </si>
  <si>
    <t>Shell, Liphook, A3</t>
  </si>
  <si>
    <t>Texaco North Chipperring</t>
  </si>
  <si>
    <t xml:space="preserve">Fuel </t>
  </si>
  <si>
    <t xml:space="preserve">Texaco Cotswolds </t>
  </si>
  <si>
    <t>Clean brake pipes</t>
  </si>
  <si>
    <t>Random Peak District station</t>
  </si>
  <si>
    <t>Mechanic toolset + wheel torque + ratchet spanners</t>
  </si>
  <si>
    <t>Sockets, wrenches, axle stands, toolbox</t>
  </si>
  <si>
    <t>Replacement parts</t>
  </si>
  <si>
    <t>JGS4x4, eBay</t>
  </si>
  <si>
    <t>Led number plate light replacement and reverse lights switch</t>
  </si>
  <si>
    <t>Esso Hampton Court</t>
  </si>
  <si>
    <t>Hill Descent Control light warning</t>
  </si>
  <si>
    <t>HDC warning lights up often after ignition</t>
  </si>
  <si>
    <t>Action / Monitoring</t>
  </si>
  <si>
    <r>
      <t xml:space="preserve">5W-30 or </t>
    </r>
    <r>
      <rPr>
        <b/>
        <sz val="10"/>
        <rFont val="Arial"/>
        <family val="2"/>
      </rPr>
      <t>10W-40</t>
    </r>
    <r>
      <rPr>
        <sz val="10"/>
        <rFont val="Arial"/>
        <charset val="1"/>
      </rPr>
      <t xml:space="preserve"> semi-synthetic, ACEA A3/B3</t>
    </r>
  </si>
  <si>
    <t>25-30</t>
  </si>
  <si>
    <t>Check head gasket (K-series)</t>
  </si>
  <si>
    <t>Check Viscous Coupling Unit (VCU)</t>
  </si>
  <si>
    <t>Check HDC cables under the gaiter, check throttle cable freeplay, check OBD codes - fixed the connection under gaiter and reverse gear switch, which was feeding the system for HDC as well.</t>
  </si>
  <si>
    <t>Based on ~16,000 mi/yr @ 26 mpg @ £1.5/L</t>
  </si>
  <si>
    <t>NOCO charger + jump pack + basics + wrenches/spanners + toolboxes</t>
  </si>
  <si>
    <t>Assumes 16,000 mi/year</t>
  </si>
  <si>
    <t>Reverse gear switch replacement</t>
  </si>
  <si>
    <t>Self (friend's driveway)</t>
  </si>
  <si>
    <t>Replaced reverse lights switch, number plate light to a LED one, fixed connectors and cables, wrapped connectors in the engine bay in electrical tape.</t>
  </si>
  <si>
    <t xml:space="preserve">Reverse lights fixed
Hill Descent Control fixed
Number plate light fixed
Parking sensor now operational
</t>
  </si>
  <si>
    <t>Advisories: headlamps lens slightly defective - both (repair asap), rear tyres slightly cracking (monitor)</t>
  </si>
  <si>
    <t>Replace gear shift knob and gaiter</t>
  </si>
  <si>
    <t>Old leather is done, cracked gaiter, knob is a mess</t>
  </si>
  <si>
    <t>Find parts and replace</t>
  </si>
  <si>
    <t>MOT Test - Passed</t>
  </si>
  <si>
    <t>Shell Kingston VPower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</si>
</sst>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£&quot;#,##0;[Red]\-&quot;£&quot;#,##0"/>
    <numFmt numFmtId="8" formatCode="&quot;£&quot;#,##0.00;[Red]\-&quot;£&quot;#,##0.00"/>
    <numFmt numFmtId="164" formatCode="\£#,##0.00"/>
    <numFmt numFmtId="165" formatCode="#,##0&quot; mi&quot;"/>
    <numFmt numFmtId="166" formatCode="\£0.00"/>
    <numFmt numFmtId="167" formatCode="dd\ mmm\ yyyy"/>
    <numFmt numFmtId="168" formatCode="0&quot; days&quot;"/>
    <numFmt numFmtId="169" formatCode="0.0&quot; mpg&quot;"/>
    <numFmt numFmtId="170" formatCode="#,##0.0&quot; L&quot;"/>
    <numFmt numFmtId="171" formatCode="\£0.000"/>
    <numFmt numFmtId="172" formatCode="0.00&quot; L&quot;"/>
    <numFmt numFmtId="173" formatCode="0.0&quot; L&quot;"/>
    <numFmt numFmtId="174" formatCode="0.0&quot; PSI&quot;"/>
    <numFmt numFmtId="175" formatCode="0.0&quot; mm&quot;"/>
    <numFmt numFmtId="176" formatCode="0.0%"/>
    <numFmt numFmtId="178" formatCode="[$£-809]#,##0.00&quot; monthly&quot;"/>
  </numFmts>
  <fonts count="13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9"/>
      <color rgb="FF595959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sz val="10"/>
      <name val="Arial"/>
    </font>
    <font>
      <b/>
      <sz val="10"/>
      <name val="Arial"/>
    </font>
    <font>
      <b/>
      <sz val="11"/>
      <color rgb="FF1F4E78"/>
      <name val="Arial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5" fillId="0" borderId="1" xfId="0" applyNumberFormat="1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left" vertical="center" wrapText="1"/>
    </xf>
    <xf numFmtId="167" fontId="5" fillId="0" borderId="1" xfId="0" applyNumberFormat="1" applyFont="1" applyBorder="1" applyAlignment="1">
      <alignment horizontal="left" vertical="center" wrapText="1"/>
    </xf>
    <xf numFmtId="168" fontId="5" fillId="0" borderId="1" xfId="0" applyNumberFormat="1" applyFont="1" applyBorder="1" applyAlignment="1">
      <alignment horizontal="left" vertical="center" wrapText="1"/>
    </xf>
    <xf numFmtId="169" fontId="5" fillId="0" borderId="1" xfId="0" applyNumberFormat="1" applyFont="1" applyBorder="1" applyAlignment="1">
      <alignment horizontal="left" vertical="center" wrapText="1"/>
    </xf>
    <xf numFmtId="170" fontId="5" fillId="0" borderId="1" xfId="0" applyNumberFormat="1" applyFont="1" applyBorder="1" applyAlignment="1">
      <alignment horizontal="left" vertical="center" wrapText="1"/>
    </xf>
    <xf numFmtId="171" fontId="5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3" fontId="5" fillId="0" borderId="1" xfId="0" applyNumberFormat="1" applyFont="1" applyBorder="1" applyAlignment="1">
      <alignment horizontal="left" vertical="center" wrapText="1"/>
    </xf>
    <xf numFmtId="0" fontId="5" fillId="0" borderId="0" xfId="0" applyFont="1"/>
    <xf numFmtId="0" fontId="4" fillId="2" borderId="1" xfId="0" applyFont="1" applyFill="1" applyBorder="1"/>
    <xf numFmtId="0" fontId="0" fillId="2" borderId="1" xfId="0" applyFill="1" applyBorder="1"/>
    <xf numFmtId="164" fontId="4" fillId="2" borderId="1" xfId="0" applyNumberFormat="1" applyFont="1" applyFill="1" applyBorder="1"/>
    <xf numFmtId="167" fontId="5" fillId="0" borderId="1" xfId="0" applyNumberFormat="1" applyFont="1" applyBorder="1"/>
    <xf numFmtId="3" fontId="5" fillId="0" borderId="1" xfId="0" applyNumberFormat="1" applyFont="1" applyBorder="1"/>
    <xf numFmtId="172" fontId="5" fillId="0" borderId="1" xfId="0" applyNumberFormat="1" applyFont="1" applyBorder="1"/>
    <xf numFmtId="171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9" fontId="5" fillId="0" borderId="1" xfId="0" applyNumberFormat="1" applyFont="1" applyBorder="1"/>
    <xf numFmtId="0" fontId="5" fillId="0" borderId="1" xfId="0" applyFont="1" applyBorder="1"/>
    <xf numFmtId="173" fontId="4" fillId="2" borderId="1" xfId="0" applyNumberFormat="1" applyFont="1" applyFill="1" applyBorder="1"/>
    <xf numFmtId="165" fontId="4" fillId="2" borderId="1" xfId="0" applyNumberFormat="1" applyFont="1" applyFill="1" applyBorder="1"/>
    <xf numFmtId="167" fontId="5" fillId="3" borderId="1" xfId="0" applyNumberFormat="1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left" vertical="center" wrapText="1"/>
    </xf>
    <xf numFmtId="164" fontId="4" fillId="2" borderId="0" xfId="0" applyNumberFormat="1" applyFont="1" applyFill="1"/>
    <xf numFmtId="0" fontId="4" fillId="0" borderId="0" xfId="0" applyFont="1"/>
    <xf numFmtId="174" fontId="5" fillId="0" borderId="1" xfId="0" applyNumberFormat="1" applyFont="1" applyBorder="1"/>
    <xf numFmtId="175" fontId="5" fillId="0" borderId="1" xfId="0" applyNumberFormat="1" applyFont="1" applyBorder="1"/>
    <xf numFmtId="164" fontId="5" fillId="3" borderId="1" xfId="0" applyNumberFormat="1" applyFont="1" applyFill="1" applyBorder="1"/>
    <xf numFmtId="164" fontId="0" fillId="0" borderId="1" xfId="0" applyNumberFormat="1" applyBorder="1"/>
    <xf numFmtId="176" fontId="0" fillId="0" borderId="1" xfId="0" applyNumberFormat="1" applyBorder="1"/>
    <xf numFmtId="0" fontId="2" fillId="0" borderId="1" xfId="0" applyFont="1" applyBorder="1"/>
    <xf numFmtId="176" fontId="4" fillId="2" borderId="1" xfId="0" applyNumberFormat="1" applyFont="1" applyFill="1" applyBorder="1"/>
    <xf numFmtId="0" fontId="3" fillId="0" borderId="0" xfId="0" applyFont="1"/>
    <xf numFmtId="171" fontId="0" fillId="0" borderId="0" xfId="0" applyNumberFormat="1"/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164" fontId="5" fillId="0" borderId="8" xfId="0" applyNumberFormat="1" applyFont="1" applyBorder="1" applyAlignment="1">
      <alignment horizontal="left" vertical="center" wrapText="1"/>
    </xf>
    <xf numFmtId="167" fontId="5" fillId="0" borderId="8" xfId="0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164" fontId="0" fillId="0" borderId="0" xfId="0" applyNumberFormat="1"/>
    <xf numFmtId="6" fontId="5" fillId="0" borderId="1" xfId="0" applyNumberFormat="1" applyFont="1" applyBorder="1" applyAlignment="1">
      <alignment horizontal="left" vertical="top" wrapText="1"/>
    </xf>
    <xf numFmtId="8" fontId="5" fillId="0" borderId="1" xfId="0" applyNumberFormat="1" applyFont="1" applyBorder="1" applyAlignment="1">
      <alignment horizontal="left" vertical="top" wrapText="1"/>
    </xf>
    <xf numFmtId="6" fontId="5" fillId="0" borderId="1" xfId="0" applyNumberFormat="1" applyFont="1" applyBorder="1" applyAlignment="1">
      <alignment horizontal="left" vertical="center" wrapText="1"/>
    </xf>
    <xf numFmtId="2" fontId="5" fillId="0" borderId="1" xfId="0" applyNumberFormat="1" applyFont="1" applyBorder="1"/>
    <xf numFmtId="165" fontId="0" fillId="0" borderId="1" xfId="0" applyNumberFormat="1" applyBorder="1"/>
    <xf numFmtId="169" fontId="7" fillId="0" borderId="1" xfId="0" applyNumberFormat="1" applyFont="1" applyBorder="1"/>
    <xf numFmtId="169" fontId="8" fillId="2" borderId="1" xfId="0" applyNumberFormat="1" applyFont="1" applyFill="1" applyBorder="1"/>
    <xf numFmtId="2" fontId="4" fillId="2" borderId="1" xfId="0" applyNumberFormat="1" applyFont="1" applyFill="1" applyBorder="1"/>
    <xf numFmtId="0" fontId="6" fillId="4" borderId="2" xfId="0" applyFont="1" applyFill="1" applyBorder="1" applyAlignment="1">
      <alignment horizontal="center" vertical="center" wrapText="1"/>
    </xf>
    <xf numFmtId="167" fontId="5" fillId="0" borderId="2" xfId="0" applyNumberFormat="1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7" fontId="7" fillId="0" borderId="2" xfId="0" applyNumberFormat="1" applyFont="1" applyBorder="1" applyAlignment="1">
      <alignment horizontal="left" vertical="center" wrapText="1"/>
    </xf>
    <xf numFmtId="0" fontId="8" fillId="0" borderId="0" xfId="0" applyFont="1"/>
    <xf numFmtId="164" fontId="0" fillId="0" borderId="1" xfId="0" applyNumberFormat="1" applyBorder="1" applyAlignment="1">
      <alignment horizontal="left" vertical="center" wrapText="1"/>
    </xf>
    <xf numFmtId="167" fontId="7" fillId="0" borderId="1" xfId="0" applyNumberFormat="1" applyFont="1" applyBorder="1" applyAlignment="1">
      <alignment horizontal="left" vertical="center" wrapText="1"/>
    </xf>
    <xf numFmtId="167" fontId="5" fillId="3" borderId="2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167" fontId="5" fillId="0" borderId="7" xfId="0" applyNumberFormat="1" applyFont="1" applyBorder="1" applyAlignment="1">
      <alignment horizontal="left" vertical="center" wrapText="1"/>
    </xf>
    <xf numFmtId="3" fontId="5" fillId="0" borderId="8" xfId="0" applyNumberFormat="1" applyFont="1" applyBorder="1" applyAlignment="1">
      <alignment horizontal="left" vertical="center" wrapText="1"/>
    </xf>
    <xf numFmtId="0" fontId="7" fillId="0" borderId="0" xfId="0" applyFont="1"/>
    <xf numFmtId="0" fontId="7" fillId="0" borderId="1" xfId="0" applyFont="1" applyBorder="1" applyAlignment="1">
      <alignment horizontal="left" vertical="top" wrapText="1"/>
    </xf>
    <xf numFmtId="0" fontId="10" fillId="0" borderId="0" xfId="0" applyFont="1"/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0" fillId="0" borderId="0" xfId="0"/>
    <xf numFmtId="0" fontId="9" fillId="2" borderId="1" xfId="0" applyFont="1" applyFill="1" applyBorder="1" applyAlignment="1">
      <alignment horizontal="left" vertical="center" wrapText="1"/>
    </xf>
    <xf numFmtId="0" fontId="0" fillId="0" borderId="0" xfId="0" applyBorder="1"/>
    <xf numFmtId="164" fontId="0" fillId="2" borderId="0" xfId="0" applyNumberFormat="1" applyFont="1" applyFill="1"/>
    <xf numFmtId="178" fontId="0" fillId="0" borderId="0" xfId="0" applyNumberFormat="1"/>
    <xf numFmtId="0" fontId="12" fillId="0" borderId="1" xfId="0" applyFont="1" applyBorder="1" applyAlignment="1">
      <alignment horizontal="left" vertical="center" wrapText="1"/>
    </xf>
    <xf numFmtId="0" fontId="10" fillId="0" borderId="0" xfId="0" applyFont="1" applyBorder="1"/>
  </cellXfs>
  <cellStyles count="1">
    <cellStyle name="Normal" xfId="0" builtinId="0"/>
  </cellStyles>
  <dxfs count="10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£#,##0.00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7" formatCode="dd\ mmm\ yyyy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7" formatCode="dd\ mmm\ yyyy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7" formatCode="dd\ mmm\ yyyy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7" formatCode="dd\ mmm\ yyyy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£#,##0.00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7" formatCode="dd\ mmm\ yyyy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7" formatCode="dd\ mmm\ yyyy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£#,##0.00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7" formatCode="dd\ mmm\ yyyy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£#,##0.00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7" formatCode="dd\ mmm\ yyyy"/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£#,##0.00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\£#,##0.00"/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7" formatCode="dd\ mmm\ yyyy"/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A034C-8997-41B7-B428-EFCA58EAE76B}" name="Table1" displayName="Table1" ref="A4:I53" totalsRowShown="0" headerRowDxfId="102" tableBorderDxfId="101">
  <autoFilter ref="A4:I53" xr:uid="{491A034C-8997-41B7-B428-EFCA58EAE76B}"/>
  <tableColumns count="9">
    <tableColumn id="1" xr3:uid="{A4C16E30-D52A-445B-BBE3-8B0AA8D6A00D}" name="Date" dataDxfId="100"/>
    <tableColumn id="2" xr3:uid="{59946C92-4303-4E95-B6A2-F85150A6E0B4}" name="Category" dataDxfId="99"/>
    <tableColumn id="3" xr3:uid="{B2102241-E929-46EB-9E7A-DDE427E68F34}" name="Sub-category" dataDxfId="98"/>
    <tableColumn id="4" xr3:uid="{D4335CF3-8C0A-4449-9FCA-9F6567E87323}" name="Vendor" dataDxfId="97"/>
    <tableColumn id="5" xr3:uid="{DA62D489-B57D-4AE4-BBA9-941F607663B0}" name="Amount (£)" dataDxfId="96"/>
    <tableColumn id="6" xr3:uid="{9F700165-C97D-493B-8930-CAC2B40545EE}" name="Mileage" dataDxfId="95"/>
    <tableColumn id="7" xr3:uid="{851102B4-CD0E-4050-B7E3-2F7EA9A3E2E2}" name="Payment Method" dataDxfId="94"/>
    <tableColumn id="8" xr3:uid="{66282C9E-5EBF-46F1-BC1E-94300E795F51}" name="Notes" dataDxfId="93"/>
    <tableColumn id="9" xr3:uid="{80E7C3CE-5ACD-46F4-9DF2-27559E814C5F}" name="Running total" dataDxfId="92">
      <calculatedColumnFormula>SUM($E$5:E5)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E12C76-210E-44DC-9808-5EEAD2428655}" name="Table4" displayName="Table4" ref="A4:J29" totalsRowShown="0" headerRowDxfId="91" dataDxfId="89" headerRowBorderDxfId="90" tableBorderDxfId="88" totalsRowBorderDxfId="87">
  <autoFilter ref="A4:J29" xr:uid="{D5E12C76-210E-44DC-9808-5EEAD2428655}"/>
  <tableColumns count="10">
    <tableColumn id="1" xr3:uid="{236A0BB3-45D5-4D88-B60C-1D402D854297}" name="Date" dataDxfId="86"/>
    <tableColumn id="2" xr3:uid="{86EFD5AF-3F1B-4C23-9B80-EBE0AF66324D}" name="Mileage" dataDxfId="85"/>
    <tableColumn id="3" xr3:uid="{12BDA7F1-D7AA-4430-B02E-236F7AFA486B}" name="Type" dataDxfId="84"/>
    <tableColumn id="4" xr3:uid="{A3BC9013-1479-41EA-8337-EEAC5D26A1CB}" name="Garage" dataDxfId="83"/>
    <tableColumn id="5" xr3:uid="{5A7A20AA-B478-4588-84BE-C8C3F1BD6CBB}" name="Work Done" dataDxfId="82"/>
    <tableColumn id="6" xr3:uid="{A899AD1A-EDDD-487A-8C03-077FCF3EBC88}" name="Parts Replaced" dataDxfId="81"/>
    <tableColumn id="7" xr3:uid="{5CBD9F46-3B3F-4DA4-98C8-206D1E6CBE4B}" name="Cost (£)" dataDxfId="80"/>
    <tableColumn id="8" xr3:uid="{E9AC15CD-AC0E-4529-9F25-1AE69E612CF4}" name="Next Due (miles)" dataDxfId="79"/>
    <tableColumn id="9" xr3:uid="{077A1600-1F0B-447E-B096-A9F02F5C3829}" name="Next Due (date)" dataDxfId="78"/>
    <tableColumn id="10" xr3:uid="{1D3D0695-3D8E-40B8-8A50-B159894AC15B}" name="Notes" dataDxfId="7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E2FB3E-1746-4A93-B837-24E8F5AD8D07}" name="Table3" displayName="Table3" ref="A4:H18" totalsRowShown="0" headerRowDxfId="76" dataDxfId="74" headerRowBorderDxfId="75" tableBorderDxfId="73" totalsRowBorderDxfId="72">
  <autoFilter ref="A4:H18" xr:uid="{33E2FB3E-1746-4A93-B837-24E8F5AD8D07}"/>
  <tableColumns count="8">
    <tableColumn id="1" xr3:uid="{35110948-12EB-4B0F-A82C-7AB9FDB02142}" name="Priority" dataDxfId="71"/>
    <tableColumn id="2" xr3:uid="{B3D7E498-FDD0-4DD8-835F-0AD87D4AE05D}" name="Task" dataDxfId="70"/>
    <tableColumn id="3" xr3:uid="{D6C793F5-5D3A-48C9-936D-44FE4114D0CD}" name="Description" dataDxfId="69"/>
    <tableColumn id="4" xr3:uid="{5C793D2D-E996-4E21-B1B7-13D72A57CB14}" name="Est. Cost (£)" dataDxfId="68"/>
    <tableColumn id="5" xr3:uid="{E10C2709-D348-471C-8EE7-6C6E0A91CF8B}" name="Status" dataDxfId="67"/>
    <tableColumn id="6" xr3:uid="{0A1363DE-F780-42F8-A013-43C6CDB14721}" name="Target Date" dataDxfId="66"/>
    <tableColumn id="7" xr3:uid="{99FAB251-930A-4834-BBB8-BE9599B4C032}" name="Completed Date" dataDxfId="65"/>
    <tableColumn id="8" xr3:uid="{D5FE6290-4C74-4E42-9C94-51BFE64FD9CC}" name="Notes" dataDxfId="6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80F44-E302-45C8-B993-52212854CDF8}" name="Table2" displayName="Table2" ref="A4:I30" totalsRowShown="0" headerRowDxfId="63" headerRowBorderDxfId="62" tableBorderDxfId="61" totalsRowBorderDxfId="60">
  <autoFilter ref="A4:I30" xr:uid="{10080F44-E302-45C8-B993-52212854CDF8}"/>
  <tableColumns count="9">
    <tableColumn id="1" xr3:uid="{7B0E2944-D9FB-40EA-A2A4-A175FDFBBAB4}" name="Priority" dataDxfId="59"/>
    <tableColumn id="2" xr3:uid="{4F8ABAFF-73AB-40CB-A7F3-AB6B57DD293E}" name="Task" dataDxfId="58"/>
    <tableColumn id="3" xr3:uid="{7E844BBF-ABBA-4D54-9F3A-CBF350F73200}" name="Description" dataDxfId="57"/>
    <tableColumn id="4" xr3:uid="{F2D0D1BC-FA92-422A-A766-41D0EE88F2EB}" name="Est. Cost (£)" dataDxfId="56"/>
    <tableColumn id="5" xr3:uid="{0921DA00-D970-4CC9-9419-D197B058D632}" name="Status" dataDxfId="55"/>
    <tableColumn id="6" xr3:uid="{34D3FAB0-0C75-4867-8341-25F315301AC7}" name="Target Service" dataDxfId="54"/>
    <tableColumn id="7" xr3:uid="{833DD9DF-E36B-497C-BF4C-32780A362634}" name="Completed Date" dataDxfId="53"/>
    <tableColumn id="8" xr3:uid="{BBCE8EF3-709B-4E97-AE1F-BB81330E5DA4}" name="Garage" dataDxfId="52"/>
    <tableColumn id="9" xr3:uid="{C1B176EA-CCE8-4FE5-9AA2-CC0E341A3956}" name="Notes" dataDxfId="5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6A82A9-4808-4434-8A17-51CE2C82FAF8}" name="Table6" displayName="Table6" ref="A4:H26" totalsRowShown="0" headerRowDxfId="50" headerRowBorderDxfId="49" tableBorderDxfId="48">
  <autoFilter ref="A4:H26" xr:uid="{4B6A82A9-4808-4434-8A17-51CE2C82FAF8}"/>
  <tableColumns count="8">
    <tableColumn id="1" xr3:uid="{17DEC07B-AFCA-4C0A-AC63-367ABD8B4654}" name="Issue" dataDxfId="47"/>
    <tableColumn id="2" xr3:uid="{B58A66A8-2FAF-47DC-9242-3926B61A750E}" name="Severity" dataDxfId="46"/>
    <tableColumn id="3" xr3:uid="{D63ED1BF-83F4-4635-955F-3835367C3876}" name="First Noted" dataDxfId="45"/>
    <tableColumn id="4" xr3:uid="{ABD1F8F3-F3AC-40CA-BFAD-80F0D41FC983}" name="Last Checked" dataDxfId="44"/>
    <tableColumn id="5" xr3:uid="{24035606-5913-4903-997E-5E4D551FFB07}" name="Current Observation" dataDxfId="43"/>
    <tableColumn id="6" xr3:uid="{873113FF-A324-42FD-AA33-ACDD658366E2}" name="Action / Monitoring" dataDxfId="42"/>
    <tableColumn id="7" xr3:uid="{206F885E-93D5-4CAC-A0E5-29EB47F17A0E}" name="Est. Cost to Fix" dataDxfId="41"/>
    <tableColumn id="8" xr3:uid="{74D7D95F-DF72-4FDD-9DDB-269AE5398AD0}" name="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A66F89-57C1-4EA8-94C1-BD01467D7525}" name="Table5" displayName="Table5" ref="A4:H25" totalsRowShown="0">
  <autoFilter ref="A4:H25" xr:uid="{E9A66F89-57C1-4EA8-94C1-BD01467D7525}"/>
  <tableColumns count="8">
    <tableColumn id="1" xr3:uid="{B2C76E39-7F2F-4287-866C-3D3A968AF47F}" name="Item"/>
    <tableColumn id="2" xr3:uid="{4D8C47A1-47EB-4E8D-8B2C-2DA7C6CD9397}" name="Category"/>
    <tableColumn id="3" xr3:uid="{1F1C70F1-163B-48FE-A533-0FE6900DFC80}" name="Purchased"/>
    <tableColumn id="4" xr3:uid="{0E9408DC-5387-47EC-916F-883386AA8543}" name="Source"/>
    <tableColumn id="5" xr3:uid="{B26133E7-1DC1-404C-BBA8-71FC44629CF2}" name="Cost (£)"/>
    <tableColumn id="6" xr3:uid="{9E24DE33-6D99-4C53-B98A-0156DBB0AD32}" name="Where Stored"/>
    <tableColumn id="7" xr3:uid="{D35E90B0-7157-4324-8DE6-B91A9B076E95}" name="Status"/>
    <tableColumn id="8" xr3:uid="{5C205B24-1E9E-4391-B916-593DD3220404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F28"/>
  <sheetViews>
    <sheetView showGridLines="0" zoomScaleNormal="100" workbookViewId="0">
      <pane ySplit="3" topLeftCell="A4" activePane="bottomLeft" state="frozen"/>
      <selection activeCell="C1" sqref="C1"/>
      <selection pane="bottomLeft" activeCell="B7" sqref="B7"/>
    </sheetView>
  </sheetViews>
  <sheetFormatPr defaultColWidth="8.7421875" defaultRowHeight="15" x14ac:dyDescent="0.2"/>
  <cols>
    <col min="1" max="1" width="32.015625" customWidth="1"/>
    <col min="2" max="2" width="22.05859375" customWidth="1"/>
    <col min="3" max="3" width="29.99609375" customWidth="1"/>
    <col min="4" max="4" width="32.015625" customWidth="1"/>
    <col min="5" max="5" width="22.05859375" customWidth="1"/>
    <col min="6" max="6" width="29.99609375" customWidth="1"/>
  </cols>
  <sheetData>
    <row r="1" spans="1:6" ht="20.25" x14ac:dyDescent="0.25">
      <c r="A1" s="1" t="s">
        <v>491</v>
      </c>
    </row>
    <row r="2" spans="1:6" x14ac:dyDescent="0.2">
      <c r="A2" s="2" t="s">
        <v>0</v>
      </c>
    </row>
    <row r="4" spans="1:6" ht="21.75" customHeight="1" x14ac:dyDescent="0.2">
      <c r="A4" s="85" t="s">
        <v>1</v>
      </c>
      <c r="B4" s="85"/>
      <c r="C4" s="85"/>
      <c r="D4" s="85" t="s">
        <v>2</v>
      </c>
      <c r="E4" s="85"/>
      <c r="F4" s="85"/>
    </row>
    <row r="5" spans="1:6" x14ac:dyDescent="0.2">
      <c r="A5" s="3" t="s">
        <v>3</v>
      </c>
      <c r="B5" s="3" t="s">
        <v>4</v>
      </c>
      <c r="D5" s="3" t="s">
        <v>5</v>
      </c>
      <c r="E5" s="4">
        <f ca="1">SUMIFS('Expenses Log'!E:E,'Expenses Log'!A:A,"&gt;="&amp;DATE(YEAR(TODAY()),1,1))</f>
        <v>5146.71</v>
      </c>
      <c r="F5" s="90">
        <f ca="1">E5/12</f>
        <v>428.89249999999998</v>
      </c>
    </row>
    <row r="6" spans="1:6" x14ac:dyDescent="0.2">
      <c r="A6" s="3" t="s">
        <v>6</v>
      </c>
      <c r="B6" s="5">
        <v>80705</v>
      </c>
      <c r="C6" s="6" t="s">
        <v>7</v>
      </c>
      <c r="D6" s="3" t="s">
        <v>8</v>
      </c>
      <c r="E6" s="4">
        <f ca="1">SUMIFS('Expenses Log'!E:E,'Expenses Log'!A:A,"&gt;="&amp;DATE(YEAR(TODAY()),1,1),'Expenses Log'!B:B,"Fuel")</f>
        <v>725.69999999999993</v>
      </c>
    </row>
    <row r="7" spans="1:6" x14ac:dyDescent="0.2">
      <c r="A7" s="3" t="s">
        <v>9</v>
      </c>
      <c r="B7" s="7">
        <f>IF(MAX(0,IFERROR(MAX('Fuel Log'!B:B),0),IFERROR(MAX('Tyre Log'!B:B),0),IFERROR(MAX('Wash Log'!E:E),0))=0,"—",MAX(0,IFERROR(MAX('Fuel Log'!B:B),0),IFERROR(MAX('Tyre Log'!B:B),0),IFERROR(MAX('Wash Log'!E:E),0)))</f>
        <v>80712</v>
      </c>
      <c r="C7" s="6" t="s">
        <v>10</v>
      </c>
      <c r="D7" s="3" t="s">
        <v>11</v>
      </c>
      <c r="E7" s="4">
        <f ca="1">SUMIFS('Expenses Log'!E:E,'Expenses Log'!A:A,"&gt;="&amp;DATE(YEAR(TODAY()),1,1),'Expenses Log'!B:B,"Service")+SUMIFS('Expenses Log'!E:E,'Expenses Log'!A:A,"&gt;="&amp;DATE(YEAR(TODAY()),1,1),'Expenses Log'!B:B,"Repair")+SUMIFS('Expenses Log'!E:E,'Expenses Log'!A:A,"&gt;="&amp;DATE(YEAR(TODAY()),1,1),'Expenses Log'!B:B,"Parts")</f>
        <v>603.99</v>
      </c>
    </row>
    <row r="8" spans="1:6" x14ac:dyDescent="0.2">
      <c r="A8" s="3" t="s">
        <v>12</v>
      </c>
      <c r="B8" s="7">
        <f>B6-76632</f>
        <v>4073</v>
      </c>
      <c r="D8" s="3" t="s">
        <v>13</v>
      </c>
      <c r="E8" s="4">
        <f ca="1">SUMIFS('Expenses Log'!E:E,'Expenses Log'!A:A,"&gt;="&amp;DATE(YEAR(TODAY()),1,1),'Expenses Log'!B:B,"Insurance")+SUMIFS('Expenses Log'!E:E,'Expenses Log'!A:A,"&gt;="&amp;DATE(YEAR(TODAY()),1,1),'Expenses Log'!B:B,"Tax")+SUMIFS('Expenses Log'!E:E,'Expenses Log'!A:A,"&gt;="&amp;DATE(YEAR(TODAY()),1,1),'Expenses Log'!B:B,"MOT")</f>
        <v>1005.14</v>
      </c>
    </row>
    <row r="9" spans="1:6" x14ac:dyDescent="0.2">
      <c r="D9" s="3" t="s">
        <v>14</v>
      </c>
      <c r="E9" s="4">
        <f>SUMIFS('Expenses Log'!E:E,'Expenses Log'!A:A,"&gt;="&amp;DATE(2026,3,14))</f>
        <v>5146.71</v>
      </c>
    </row>
    <row r="10" spans="1:6" ht="21.75" customHeight="1" x14ac:dyDescent="0.2">
      <c r="A10" s="85" t="s">
        <v>15</v>
      </c>
      <c r="B10" s="85"/>
      <c r="C10" s="85"/>
      <c r="D10" s="3" t="s">
        <v>16</v>
      </c>
      <c r="E10" s="8">
        <f>IFERROR(E9/(B6-76632),"—")</f>
        <v>1.2636164988951633</v>
      </c>
    </row>
    <row r="11" spans="1:6" x14ac:dyDescent="0.2">
      <c r="A11" s="3" t="s">
        <v>17</v>
      </c>
      <c r="B11" s="9">
        <f>DATE(2026,8,6)</f>
        <v>46240</v>
      </c>
    </row>
    <row r="12" spans="1:6" ht="21.75" customHeight="1" x14ac:dyDescent="0.2">
      <c r="A12" s="3" t="s">
        <v>18</v>
      </c>
      <c r="B12" s="10">
        <f ca="1">B11-TODAY()</f>
        <v>26</v>
      </c>
      <c r="D12" s="85" t="s">
        <v>19</v>
      </c>
      <c r="E12" s="85"/>
      <c r="F12" s="85"/>
    </row>
    <row r="13" spans="1:6" x14ac:dyDescent="0.2">
      <c r="A13" s="3" t="s">
        <v>20</v>
      </c>
      <c r="B13" s="9">
        <f>DATE(2027,3,15)</f>
        <v>46461</v>
      </c>
      <c r="D13" s="3" t="s">
        <v>21</v>
      </c>
      <c r="E13" s="11">
        <f>IFERROR(AVERAGE('Fuel Log'!G:G),"—")</f>
        <v>28.77570067567455</v>
      </c>
    </row>
    <row r="14" spans="1:6" x14ac:dyDescent="0.2">
      <c r="A14" s="3" t="s">
        <v>22</v>
      </c>
      <c r="B14" s="10">
        <f ca="1">B13-TODAY()</f>
        <v>247</v>
      </c>
      <c r="D14" s="3" t="s">
        <v>23</v>
      </c>
      <c r="E14" s="11">
        <f>IF(COUNT('Fuel Log'!G:G)=0,"—",MAX('Fuel Log'!G:G))</f>
        <v>32.153092337917485</v>
      </c>
    </row>
    <row r="15" spans="1:6" x14ac:dyDescent="0.2">
      <c r="A15" s="3" t="s">
        <v>24</v>
      </c>
      <c r="B15" s="9">
        <f>DATE(2027,2,28)</f>
        <v>46446</v>
      </c>
      <c r="C15" s="6" t="s">
        <v>25</v>
      </c>
      <c r="D15" s="3" t="s">
        <v>26</v>
      </c>
      <c r="E15" s="11">
        <f>IF(COUNT('Fuel Log'!G:G)=0,"—",MIN('Fuel Log'!G:G))</f>
        <v>24.490226774193548</v>
      </c>
    </row>
    <row r="16" spans="1:6" x14ac:dyDescent="0.2">
      <c r="A16" s="3" t="s">
        <v>27</v>
      </c>
      <c r="B16" s="10">
        <f ca="1">B15-TODAY()</f>
        <v>232</v>
      </c>
      <c r="D16" s="3" t="s">
        <v>28</v>
      </c>
      <c r="E16" s="12">
        <f>IF(SUM('Fuel Log'!C:C)=0,"—",SUM('Fuel Log'!C:C))</f>
        <v>1112.94</v>
      </c>
    </row>
    <row r="17" spans="1:6" x14ac:dyDescent="0.2">
      <c r="A17" s="3" t="s">
        <v>29</v>
      </c>
      <c r="B17" s="9">
        <f>IFERROR(INDEX('Service History'!I:I,MATCH(MAX('Service History'!I:I),'Service History'!I:I,0)),"—")</f>
        <v>46576</v>
      </c>
      <c r="D17" s="3" t="s">
        <v>30</v>
      </c>
      <c r="E17" s="13">
        <f>IFERROR(AVERAGE('Fuel Log'!D:D),"—")</f>
        <v>1.5949230769230771</v>
      </c>
    </row>
    <row r="18" spans="1:6" x14ac:dyDescent="0.2">
      <c r="A18" s="3" t="s">
        <v>31</v>
      </c>
      <c r="B18" s="7">
        <f>IFERROR(INDEX('Service History'!H:H,MATCH(MAX('Service History'!H:H),'Service History'!H:H,0)),"—")</f>
        <v>87500</v>
      </c>
      <c r="D18" s="3" t="s">
        <v>32</v>
      </c>
      <c r="E18" s="9">
        <f>IF(COUNT('Fuel Log'!A:A)=0,"—",MAX('Fuel Log'!A:A))</f>
        <v>46213</v>
      </c>
    </row>
    <row r="20" spans="1:6" ht="21.75" customHeight="1" x14ac:dyDescent="0.2">
      <c r="A20" s="85" t="s">
        <v>33</v>
      </c>
      <c r="B20" s="85"/>
      <c r="C20" s="85"/>
      <c r="D20" s="85"/>
      <c r="E20" s="85"/>
      <c r="F20" s="85"/>
    </row>
    <row r="21" spans="1:6" x14ac:dyDescent="0.2">
      <c r="A21" s="3" t="s">
        <v>34</v>
      </c>
      <c r="B21" s="14">
        <f>COUNTIF('DIY To-Do'!E:E,"Open")</f>
        <v>5</v>
      </c>
      <c r="D21" s="3" t="s">
        <v>35</v>
      </c>
      <c r="E21" s="14">
        <f>COUNTIF('DIY To-Do'!E:E,"In Progress")</f>
        <v>0</v>
      </c>
    </row>
    <row r="22" spans="1:6" x14ac:dyDescent="0.2">
      <c r="A22" s="3" t="s">
        <v>36</v>
      </c>
      <c r="B22" s="14">
        <f>COUNTIF('Workshop To-Do'!E:E,"Open")</f>
        <v>1</v>
      </c>
      <c r="D22" s="3" t="s">
        <v>37</v>
      </c>
      <c r="E22" s="14">
        <f>COUNTIF('Workshop To-Do'!E:E,"Scheduled")</f>
        <v>0</v>
      </c>
    </row>
    <row r="23" spans="1:6" x14ac:dyDescent="0.2">
      <c r="A23" s="3" t="s">
        <v>38</v>
      </c>
      <c r="B23" s="14">
        <f>COUNTIFS('DIY To-Do'!A:A,"High",'DIY To-Do'!E:E,"Open")+COUNTIFS('Workshop To-Do'!A:A,"High",'Workshop To-Do'!E:E,"Open")</f>
        <v>0</v>
      </c>
      <c r="D23" s="3" t="s">
        <v>39</v>
      </c>
      <c r="E23" s="14">
        <f>COUNTIF('Issues Watchlist'!H:H,"Monitoring")+COUNTIF('Issues Watchlist'!H:H,"Worsening")</f>
        <v>5</v>
      </c>
    </row>
    <row r="25" spans="1:6" ht="21.75" customHeight="1" x14ac:dyDescent="0.2">
      <c r="A25" s="85" t="s">
        <v>40</v>
      </c>
      <c r="B25" s="85"/>
      <c r="C25" s="85"/>
      <c r="D25" s="85"/>
      <c r="E25" s="85"/>
      <c r="F25" s="85"/>
    </row>
    <row r="26" spans="1:6" x14ac:dyDescent="0.2">
      <c r="A26" s="3" t="s">
        <v>41</v>
      </c>
      <c r="B26" s="14">
        <f ca="1">COUNTIF('Regular Checks'!F:F,"Overdue")</f>
        <v>7</v>
      </c>
      <c r="D26" s="3" t="s">
        <v>42</v>
      </c>
      <c r="E26" s="14">
        <f ca="1">COUNTIF('Regular Checks'!F:F,"Due Soon")</f>
        <v>3</v>
      </c>
    </row>
    <row r="27" spans="1:6" x14ac:dyDescent="0.2">
      <c r="A27" s="3" t="s">
        <v>43</v>
      </c>
      <c r="B27" s="14">
        <f ca="1">COUNTIF('Regular Checks'!F:F,"OK")</f>
        <v>7</v>
      </c>
      <c r="D27" s="3" t="s">
        <v>44</v>
      </c>
      <c r="E27" s="9">
        <f>IF(COUNT('Wash Log'!A:A)=0,"—",MAX('Wash Log'!A:A))</f>
        <v>46203</v>
      </c>
    </row>
    <row r="28" spans="1:6" x14ac:dyDescent="0.2">
      <c r="A28" s="3" t="s">
        <v>45</v>
      </c>
      <c r="B28" s="10">
        <f ca="1">IF(COUNT('Wash Log'!A:A)=0,"—",TODAY()-MAX('Wash Log'!A:A))</f>
        <v>11</v>
      </c>
      <c r="D28" s="3" t="s">
        <v>46</v>
      </c>
      <c r="E28" s="9">
        <f>IF(COUNT('Tyre Log'!A:A)=0,"—",MAX('Tyre Log'!A:A))</f>
        <v>46165</v>
      </c>
    </row>
  </sheetData>
  <mergeCells count="6">
    <mergeCell ref="A25:F25"/>
    <mergeCell ref="A4:C4"/>
    <mergeCell ref="D4:F4"/>
    <mergeCell ref="A10:C10"/>
    <mergeCell ref="D12:F12"/>
    <mergeCell ref="A20:F20"/>
  </mergeCells>
  <conditionalFormatting sqref="B12">
    <cfRule type="cellIs" dxfId="40" priority="2" operator="lessThan">
      <formula>30</formula>
    </cfRule>
    <cfRule type="cellIs" dxfId="39" priority="3" operator="between">
      <formula>30</formula>
      <formula>60</formula>
    </cfRule>
    <cfRule type="cellIs" dxfId="38" priority="4" operator="greaterThan">
      <formula>60</formula>
    </cfRule>
  </conditionalFormatting>
  <conditionalFormatting sqref="B14">
    <cfRule type="cellIs" dxfId="37" priority="5" operator="lessThan">
      <formula>30</formula>
    </cfRule>
    <cfRule type="cellIs" dxfId="36" priority="6" operator="between">
      <formula>30</formula>
      <formula>60</formula>
    </cfRule>
    <cfRule type="cellIs" dxfId="35" priority="7" operator="greaterThan">
      <formula>60</formula>
    </cfRule>
  </conditionalFormatting>
  <conditionalFormatting sqref="B16">
    <cfRule type="cellIs" dxfId="34" priority="8" operator="lessThan">
      <formula>30</formula>
    </cfRule>
    <cfRule type="cellIs" dxfId="33" priority="9" operator="between">
      <formula>30</formula>
      <formula>60</formula>
    </cfRule>
    <cfRule type="cellIs" dxfId="32" priority="10" operator="greaterThan">
      <formula>60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C70"/>
  <sheetViews>
    <sheetView showGridLines="0" topLeftCell="B1" zoomScaleNormal="100" workbookViewId="0">
      <pane ySplit="3" topLeftCell="B39" activePane="bottomLeft" state="frozen"/>
      <selection activeCell="B1" sqref="B1"/>
      <selection pane="bottomLeft" activeCell="C55" sqref="C55"/>
    </sheetView>
  </sheetViews>
  <sheetFormatPr defaultColWidth="8.7421875" defaultRowHeight="15" x14ac:dyDescent="0.2"/>
  <cols>
    <col min="1" max="1" width="32.015625" customWidth="1"/>
    <col min="2" max="2" width="41.96875" customWidth="1"/>
    <col min="3" max="3" width="50.04296875" customWidth="1"/>
  </cols>
  <sheetData>
    <row r="1" spans="1:3" ht="20.25" x14ac:dyDescent="0.25">
      <c r="A1" s="1" t="s">
        <v>47</v>
      </c>
    </row>
    <row r="2" spans="1:3" x14ac:dyDescent="0.2">
      <c r="A2" s="2" t="s">
        <v>48</v>
      </c>
    </row>
    <row r="4" spans="1:3" ht="21.75" customHeight="1" x14ac:dyDescent="0.2">
      <c r="A4" s="85" t="s">
        <v>49</v>
      </c>
      <c r="B4" s="85"/>
      <c r="C4" s="85"/>
    </row>
    <row r="5" spans="1:3" x14ac:dyDescent="0.2">
      <c r="A5" s="3" t="s">
        <v>50</v>
      </c>
      <c r="B5" s="15" t="s">
        <v>4</v>
      </c>
    </row>
    <row r="6" spans="1:3" x14ac:dyDescent="0.2">
      <c r="A6" s="3" t="s">
        <v>51</v>
      </c>
      <c r="B6" s="15" t="s">
        <v>52</v>
      </c>
    </row>
    <row r="7" spans="1:3" x14ac:dyDescent="0.2">
      <c r="A7" s="3" t="s">
        <v>53</v>
      </c>
      <c r="B7" s="15" t="s">
        <v>54</v>
      </c>
    </row>
    <row r="8" spans="1:3" x14ac:dyDescent="0.2">
      <c r="A8" s="3" t="s">
        <v>55</v>
      </c>
      <c r="B8" s="15" t="s">
        <v>56</v>
      </c>
    </row>
    <row r="9" spans="1:3" x14ac:dyDescent="0.2">
      <c r="A9" s="3" t="s">
        <v>57</v>
      </c>
      <c r="B9" s="15" t="s">
        <v>58</v>
      </c>
    </row>
    <row r="10" spans="1:3" x14ac:dyDescent="0.2">
      <c r="A10" s="3" t="s">
        <v>59</v>
      </c>
      <c r="B10" s="15" t="s">
        <v>60</v>
      </c>
    </row>
    <row r="11" spans="1:3" x14ac:dyDescent="0.2">
      <c r="A11" s="3" t="s">
        <v>61</v>
      </c>
      <c r="B11" s="15" t="s">
        <v>62</v>
      </c>
      <c r="C11" s="6" t="s">
        <v>63</v>
      </c>
    </row>
    <row r="12" spans="1:3" x14ac:dyDescent="0.2">
      <c r="A12" s="3" t="s">
        <v>64</v>
      </c>
      <c r="B12" s="15" t="s">
        <v>65</v>
      </c>
      <c r="C12" s="6" t="s">
        <v>66</v>
      </c>
    </row>
    <row r="13" spans="1:3" x14ac:dyDescent="0.2">
      <c r="A13" s="3" t="s">
        <v>67</v>
      </c>
      <c r="B13" s="15" t="s">
        <v>68</v>
      </c>
    </row>
    <row r="14" spans="1:3" x14ac:dyDescent="0.2">
      <c r="A14" s="3" t="s">
        <v>69</v>
      </c>
      <c r="B14" s="62">
        <v>1700</v>
      </c>
      <c r="C14" s="6" t="s">
        <v>492</v>
      </c>
    </row>
    <row r="15" spans="1:3" x14ac:dyDescent="0.2">
      <c r="A15" s="3" t="s">
        <v>70</v>
      </c>
      <c r="B15" s="15" t="s">
        <v>71</v>
      </c>
    </row>
    <row r="16" spans="1:3" ht="21.75" customHeight="1" x14ac:dyDescent="0.2">
      <c r="A16" s="85" t="s">
        <v>72</v>
      </c>
      <c r="B16" s="85"/>
      <c r="C16" s="85"/>
    </row>
    <row r="17" spans="1:3" x14ac:dyDescent="0.2">
      <c r="A17" s="3" t="s">
        <v>73</v>
      </c>
      <c r="B17" s="15" t="s">
        <v>74</v>
      </c>
      <c r="C17" s="6" t="s">
        <v>75</v>
      </c>
    </row>
    <row r="18" spans="1:3" x14ac:dyDescent="0.2">
      <c r="A18" s="3" t="s">
        <v>76</v>
      </c>
      <c r="B18" s="15" t="s">
        <v>77</v>
      </c>
    </row>
    <row r="19" spans="1:3" x14ac:dyDescent="0.2">
      <c r="A19" s="3" t="s">
        <v>78</v>
      </c>
      <c r="B19" s="15" t="s">
        <v>79</v>
      </c>
    </row>
    <row r="20" spans="1:3" x14ac:dyDescent="0.2">
      <c r="A20" s="3" t="s">
        <v>80</v>
      </c>
      <c r="B20" s="15" t="s">
        <v>81</v>
      </c>
    </row>
    <row r="21" spans="1:3" x14ac:dyDescent="0.2">
      <c r="A21" s="3" t="s">
        <v>82</v>
      </c>
      <c r="B21" s="15" t="s">
        <v>83</v>
      </c>
      <c r="C21" s="6" t="s">
        <v>84</v>
      </c>
    </row>
    <row r="22" spans="1:3" x14ac:dyDescent="0.2">
      <c r="A22" s="3" t="s">
        <v>85</v>
      </c>
      <c r="B22" s="15" t="s">
        <v>86</v>
      </c>
    </row>
    <row r="23" spans="1:3" x14ac:dyDescent="0.2">
      <c r="A23" s="3" t="s">
        <v>87</v>
      </c>
      <c r="B23" s="84" t="s">
        <v>569</v>
      </c>
      <c r="C23" s="6" t="s">
        <v>88</v>
      </c>
    </row>
    <row r="24" spans="1:3" x14ac:dyDescent="0.2">
      <c r="A24" s="3" t="s">
        <v>89</v>
      </c>
      <c r="B24" s="15" t="s">
        <v>90</v>
      </c>
    </row>
    <row r="25" spans="1:3" x14ac:dyDescent="0.2">
      <c r="A25" s="3" t="s">
        <v>91</v>
      </c>
      <c r="B25" s="15" t="s">
        <v>92</v>
      </c>
    </row>
    <row r="26" spans="1:3" ht="21.75" customHeight="1" x14ac:dyDescent="0.2">
      <c r="A26" s="85" t="s">
        <v>93</v>
      </c>
      <c r="B26" s="85"/>
      <c r="C26" s="85"/>
    </row>
    <row r="27" spans="1:3" x14ac:dyDescent="0.2">
      <c r="A27" s="3" t="s">
        <v>94</v>
      </c>
      <c r="B27" s="84" t="s">
        <v>568</v>
      </c>
      <c r="C27" s="84" t="s">
        <v>95</v>
      </c>
    </row>
    <row r="28" spans="1:3" x14ac:dyDescent="0.2">
      <c r="A28" s="3" t="s">
        <v>96</v>
      </c>
      <c r="B28" s="16" t="s">
        <v>97</v>
      </c>
      <c r="C28" s="6" t="s">
        <v>98</v>
      </c>
    </row>
    <row r="29" spans="1:3" x14ac:dyDescent="0.2">
      <c r="A29" s="3" t="s">
        <v>99</v>
      </c>
      <c r="B29" s="16" t="s">
        <v>100</v>
      </c>
      <c r="C29" s="6" t="s">
        <v>101</v>
      </c>
    </row>
    <row r="30" spans="1:3" x14ac:dyDescent="0.2">
      <c r="A30" s="3" t="s">
        <v>102</v>
      </c>
      <c r="B30" s="16" t="s">
        <v>103</v>
      </c>
      <c r="C30" s="6" t="s">
        <v>98</v>
      </c>
    </row>
    <row r="31" spans="1:3" x14ac:dyDescent="0.2">
      <c r="A31" s="3" t="s">
        <v>104</v>
      </c>
      <c r="B31" s="16" t="s">
        <v>105</v>
      </c>
    </row>
    <row r="32" spans="1:3" x14ac:dyDescent="0.2">
      <c r="A32" s="3" t="s">
        <v>106</v>
      </c>
      <c r="B32" s="16" t="s">
        <v>107</v>
      </c>
      <c r="C32" s="6" t="s">
        <v>108</v>
      </c>
    </row>
    <row r="33" spans="1:3" x14ac:dyDescent="0.2">
      <c r="A33" s="3" t="s">
        <v>109</v>
      </c>
      <c r="B33" s="16" t="s">
        <v>110</v>
      </c>
      <c r="C33" s="6" t="s">
        <v>111</v>
      </c>
    </row>
    <row r="34" spans="1:3" x14ac:dyDescent="0.2">
      <c r="A34" s="3" t="s">
        <v>112</v>
      </c>
      <c r="B34" s="16" t="s">
        <v>113</v>
      </c>
      <c r="C34" s="6" t="s">
        <v>114</v>
      </c>
    </row>
    <row r="35" spans="1:3" x14ac:dyDescent="0.2">
      <c r="A35" s="3" t="s">
        <v>115</v>
      </c>
      <c r="B35" s="16" t="s">
        <v>113</v>
      </c>
      <c r="C35" s="6" t="s">
        <v>114</v>
      </c>
    </row>
    <row r="36" spans="1:3" ht="21.75" customHeight="1" x14ac:dyDescent="0.2">
      <c r="A36" s="85" t="s">
        <v>116</v>
      </c>
      <c r="B36" s="85"/>
      <c r="C36" s="85"/>
    </row>
    <row r="37" spans="1:3" x14ac:dyDescent="0.2">
      <c r="A37" s="3" t="s">
        <v>117</v>
      </c>
      <c r="B37" s="16" t="s">
        <v>118</v>
      </c>
      <c r="C37" s="6" t="s">
        <v>119</v>
      </c>
    </row>
    <row r="38" spans="1:3" ht="24.75" x14ac:dyDescent="0.2">
      <c r="A38" s="3" t="s">
        <v>120</v>
      </c>
      <c r="B38" s="16" t="s">
        <v>493</v>
      </c>
      <c r="C38" s="6" t="s">
        <v>121</v>
      </c>
    </row>
    <row r="39" spans="1:3" ht="24.75" x14ac:dyDescent="0.2">
      <c r="A39" s="3" t="s">
        <v>122</v>
      </c>
      <c r="B39" s="16" t="s">
        <v>493</v>
      </c>
      <c r="C39" s="6" t="s">
        <v>121</v>
      </c>
    </row>
    <row r="40" spans="1:3" ht="24.75" x14ac:dyDescent="0.2">
      <c r="A40" s="3" t="s">
        <v>123</v>
      </c>
      <c r="B40" s="16" t="s">
        <v>494</v>
      </c>
      <c r="C40" s="6" t="s">
        <v>121</v>
      </c>
    </row>
    <row r="41" spans="1:3" ht="24.75" x14ac:dyDescent="0.2">
      <c r="A41" s="3" t="s">
        <v>124</v>
      </c>
      <c r="B41" s="16" t="s">
        <v>494</v>
      </c>
      <c r="C41" s="6" t="s">
        <v>121</v>
      </c>
    </row>
    <row r="42" spans="1:3" x14ac:dyDescent="0.2">
      <c r="A42" s="3" t="s">
        <v>125</v>
      </c>
      <c r="B42" s="16" t="s">
        <v>126</v>
      </c>
      <c r="C42" s="6" t="s">
        <v>127</v>
      </c>
    </row>
    <row r="43" spans="1:3" x14ac:dyDescent="0.2">
      <c r="A43" s="3" t="s">
        <v>128</v>
      </c>
      <c r="B43" s="16" t="s">
        <v>129</v>
      </c>
      <c r="C43" s="6" t="s">
        <v>130</v>
      </c>
    </row>
    <row r="44" spans="1:3" ht="21.75" customHeight="1" x14ac:dyDescent="0.2">
      <c r="A44" s="85" t="s">
        <v>131</v>
      </c>
      <c r="B44" s="85"/>
      <c r="C44" s="85"/>
    </row>
    <row r="45" spans="1:3" x14ac:dyDescent="0.2">
      <c r="A45" s="3" t="s">
        <v>17</v>
      </c>
      <c r="B45" s="16" t="s">
        <v>132</v>
      </c>
      <c r="C45" s="6" t="s">
        <v>133</v>
      </c>
    </row>
    <row r="46" spans="1:3" x14ac:dyDescent="0.2">
      <c r="A46" s="3" t="s">
        <v>134</v>
      </c>
      <c r="B46" s="16" t="s">
        <v>135</v>
      </c>
      <c r="C46" s="6" t="s">
        <v>136</v>
      </c>
    </row>
    <row r="47" spans="1:3" x14ac:dyDescent="0.2">
      <c r="A47" s="3" t="s">
        <v>137</v>
      </c>
      <c r="B47" s="16" t="s">
        <v>138</v>
      </c>
      <c r="C47" s="6" t="s">
        <v>139</v>
      </c>
    </row>
    <row r="48" spans="1:3" x14ac:dyDescent="0.2">
      <c r="A48" s="3" t="s">
        <v>140</v>
      </c>
      <c r="B48" s="16" t="s">
        <v>141</v>
      </c>
    </row>
    <row r="49" spans="1:3" x14ac:dyDescent="0.2">
      <c r="A49" s="3" t="s">
        <v>142</v>
      </c>
      <c r="B49" s="16" t="s">
        <v>143</v>
      </c>
    </row>
    <row r="50" spans="1:3" x14ac:dyDescent="0.2">
      <c r="A50" s="3" t="s">
        <v>144</v>
      </c>
      <c r="B50" s="16" t="s">
        <v>145</v>
      </c>
    </row>
    <row r="51" spans="1:3" x14ac:dyDescent="0.2">
      <c r="A51" s="3" t="s">
        <v>146</v>
      </c>
      <c r="B51" s="16" t="s">
        <v>147</v>
      </c>
    </row>
    <row r="52" spans="1:3" x14ac:dyDescent="0.2">
      <c r="A52" s="3" t="s">
        <v>148</v>
      </c>
      <c r="B52" s="61">
        <v>517.14</v>
      </c>
      <c r="C52" s="6" t="s">
        <v>149</v>
      </c>
    </row>
    <row r="53" spans="1:3" x14ac:dyDescent="0.2">
      <c r="A53" s="3" t="s">
        <v>150</v>
      </c>
      <c r="B53" s="16" t="s">
        <v>151</v>
      </c>
      <c r="C53" s="6" t="s">
        <v>152</v>
      </c>
    </row>
    <row r="54" spans="1:3" x14ac:dyDescent="0.2">
      <c r="A54" s="3" t="s">
        <v>153</v>
      </c>
      <c r="B54" s="16" t="s">
        <v>154</v>
      </c>
    </row>
    <row r="55" spans="1:3" x14ac:dyDescent="0.2">
      <c r="A55" s="3" t="s">
        <v>155</v>
      </c>
      <c r="B55" s="60">
        <v>150</v>
      </c>
    </row>
    <row r="56" spans="1:3" x14ac:dyDescent="0.2">
      <c r="A56" s="3" t="s">
        <v>156</v>
      </c>
      <c r="B56" s="16">
        <v>0</v>
      </c>
      <c r="C56" s="6" t="s">
        <v>157</v>
      </c>
    </row>
    <row r="57" spans="1:3" x14ac:dyDescent="0.2">
      <c r="A57" s="3" t="s">
        <v>158</v>
      </c>
      <c r="B57" s="16" t="s">
        <v>159</v>
      </c>
      <c r="C57" s="6" t="s">
        <v>160</v>
      </c>
    </row>
    <row r="58" spans="1:3" ht="21.75" customHeight="1" x14ac:dyDescent="0.2">
      <c r="A58" s="86" t="s">
        <v>534</v>
      </c>
      <c r="B58" s="85"/>
      <c r="C58" s="85"/>
    </row>
    <row r="59" spans="1:3" x14ac:dyDescent="0.2">
      <c r="A59" s="3" t="s">
        <v>161</v>
      </c>
      <c r="B59" s="16" t="s">
        <v>511</v>
      </c>
      <c r="C59" s="82" t="s">
        <v>162</v>
      </c>
    </row>
    <row r="60" spans="1:3" x14ac:dyDescent="0.2">
      <c r="A60" s="3" t="s">
        <v>163</v>
      </c>
      <c r="B60" t="s">
        <v>533</v>
      </c>
      <c r="C60" s="82" t="s">
        <v>164</v>
      </c>
    </row>
    <row r="61" spans="1:3" x14ac:dyDescent="0.2">
      <c r="A61" s="3" t="s">
        <v>165</v>
      </c>
      <c r="B61" t="s">
        <v>532</v>
      </c>
      <c r="C61" s="82" t="s">
        <v>166</v>
      </c>
    </row>
    <row r="62" spans="1:3" ht="24.75" x14ac:dyDescent="0.2">
      <c r="A62" s="3" t="s">
        <v>167</v>
      </c>
      <c r="B62" s="16" t="s">
        <v>531</v>
      </c>
      <c r="C62" s="82" t="s">
        <v>495</v>
      </c>
    </row>
    <row r="63" spans="1:3" ht="25.5" customHeight="1" x14ac:dyDescent="0.2">
      <c r="A63" s="87" t="s">
        <v>535</v>
      </c>
      <c r="B63" s="87"/>
      <c r="C63" s="87"/>
    </row>
    <row r="64" spans="1:3" x14ac:dyDescent="0.2">
      <c r="A64" s="3" t="s">
        <v>168</v>
      </c>
      <c r="B64" s="16" t="s">
        <v>169</v>
      </c>
      <c r="C64" s="82"/>
    </row>
    <row r="65" spans="1:3" x14ac:dyDescent="0.2">
      <c r="A65" s="3" t="s">
        <v>170</v>
      </c>
      <c r="B65" s="16" t="s">
        <v>171</v>
      </c>
      <c r="C65" s="82"/>
    </row>
    <row r="66" spans="1:3" x14ac:dyDescent="0.2">
      <c r="A66" s="3" t="s">
        <v>172</v>
      </c>
      <c r="B66" s="16" t="s">
        <v>171</v>
      </c>
      <c r="C66" s="82"/>
    </row>
    <row r="67" spans="1:3" ht="21.75" customHeight="1" x14ac:dyDescent="0.2">
      <c r="A67" s="85" t="s">
        <v>173</v>
      </c>
      <c r="B67" s="85"/>
      <c r="C67" s="85"/>
    </row>
    <row r="68" spans="1:3" x14ac:dyDescent="0.2">
      <c r="A68" s="3" t="s">
        <v>174</v>
      </c>
      <c r="B68" s="16" t="s">
        <v>175</v>
      </c>
    </row>
    <row r="69" spans="1:3" x14ac:dyDescent="0.2">
      <c r="A69" s="3" t="s">
        <v>176</v>
      </c>
      <c r="B69" s="16" t="s">
        <v>177</v>
      </c>
    </row>
    <row r="70" spans="1:3" x14ac:dyDescent="0.2">
      <c r="A70" s="3" t="s">
        <v>178</v>
      </c>
      <c r="B70" s="16" t="s">
        <v>179</v>
      </c>
      <c r="C70" s="6" t="s">
        <v>180</v>
      </c>
    </row>
  </sheetData>
  <mergeCells count="8">
    <mergeCell ref="A58:C58"/>
    <mergeCell ref="A67:C67"/>
    <mergeCell ref="A4:C4"/>
    <mergeCell ref="A16:C16"/>
    <mergeCell ref="A26:C26"/>
    <mergeCell ref="A36:C36"/>
    <mergeCell ref="A44:C44"/>
    <mergeCell ref="A63:C6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207"/>
  <sheetViews>
    <sheetView zoomScaleNormal="100" workbookViewId="0">
      <pane ySplit="4" topLeftCell="A5" activePane="bottomLeft" state="frozen"/>
      <selection activeCell="E1" sqref="E1"/>
      <selection pane="bottomLeft" activeCell="G16" sqref="G16"/>
    </sheetView>
  </sheetViews>
  <sheetFormatPr defaultColWidth="8.7421875" defaultRowHeight="15" x14ac:dyDescent="0.2"/>
  <cols>
    <col min="1" max="1" width="18.83203125" customWidth="1"/>
    <col min="2" max="2" width="22.1953125" customWidth="1"/>
    <col min="3" max="3" width="22.05859375" customWidth="1"/>
    <col min="4" max="4" width="25.9609375" customWidth="1"/>
    <col min="5" max="5" width="17.484375" customWidth="1"/>
    <col min="6" max="6" width="15.19921875" customWidth="1"/>
    <col min="7" max="7" width="25.421875" customWidth="1"/>
    <col min="8" max="8" width="56.36328125" customWidth="1"/>
    <col min="9" max="9" width="21.5234375" customWidth="1"/>
    <col min="10" max="10" width="11.02734375" customWidth="1"/>
    <col min="11" max="11" width="25.55859375" customWidth="1"/>
  </cols>
  <sheetData>
    <row r="1" spans="1:11" ht="20.25" x14ac:dyDescent="0.25">
      <c r="A1" s="1" t="s">
        <v>181</v>
      </c>
    </row>
    <row r="2" spans="1:11" x14ac:dyDescent="0.2">
      <c r="A2" s="2" t="s">
        <v>182</v>
      </c>
    </row>
    <row r="4" spans="1:11" ht="27.75" customHeight="1" x14ac:dyDescent="0.2">
      <c r="A4" s="68" t="s">
        <v>183</v>
      </c>
      <c r="B4" s="17" t="s">
        <v>184</v>
      </c>
      <c r="C4" s="17" t="s">
        <v>185</v>
      </c>
      <c r="D4" s="17" t="s">
        <v>186</v>
      </c>
      <c r="E4" s="17" t="s">
        <v>187</v>
      </c>
      <c r="F4" s="17" t="s">
        <v>188</v>
      </c>
      <c r="G4" s="17" t="s">
        <v>189</v>
      </c>
      <c r="H4" s="17" t="s">
        <v>190</v>
      </c>
      <c r="I4" s="17" t="s">
        <v>502</v>
      </c>
      <c r="K4" s="18" t="s">
        <v>191</v>
      </c>
    </row>
    <row r="5" spans="1:11" x14ac:dyDescent="0.2">
      <c r="A5" s="73">
        <v>46095</v>
      </c>
      <c r="B5" s="72" t="s">
        <v>192</v>
      </c>
      <c r="C5" s="72" t="s">
        <v>193</v>
      </c>
      <c r="D5" s="72" t="s">
        <v>194</v>
      </c>
      <c r="E5" s="71">
        <v>1700</v>
      </c>
      <c r="F5" s="70">
        <v>76632</v>
      </c>
      <c r="G5" s="72" t="s">
        <v>195</v>
      </c>
      <c r="H5" s="72" t="s">
        <v>196</v>
      </c>
      <c r="I5" s="71">
        <f>SUM($E$5:E5)</f>
        <v>1700</v>
      </c>
      <c r="K5" s="20" t="s">
        <v>197</v>
      </c>
    </row>
    <row r="6" spans="1:11" x14ac:dyDescent="0.2">
      <c r="A6" s="73">
        <v>46095</v>
      </c>
      <c r="B6" s="72" t="s">
        <v>198</v>
      </c>
      <c r="C6" s="72" t="s">
        <v>199</v>
      </c>
      <c r="D6" s="72" t="s">
        <v>200</v>
      </c>
      <c r="E6" s="71">
        <v>517.14</v>
      </c>
      <c r="F6" s="70">
        <v>76632</v>
      </c>
      <c r="G6" s="72" t="s">
        <v>201</v>
      </c>
      <c r="H6" s="72" t="s">
        <v>202</v>
      </c>
      <c r="I6" s="71">
        <f>SUM($E$5:E6)</f>
        <v>2217.14</v>
      </c>
      <c r="K6" s="20" t="s">
        <v>203</v>
      </c>
    </row>
    <row r="7" spans="1:11" x14ac:dyDescent="0.2">
      <c r="A7" s="73">
        <v>46095</v>
      </c>
      <c r="B7" s="72" t="s">
        <v>204</v>
      </c>
      <c r="C7" s="72" t="s">
        <v>205</v>
      </c>
      <c r="D7" s="72" t="s">
        <v>206</v>
      </c>
      <c r="E7" s="71">
        <v>430</v>
      </c>
      <c r="F7" s="70">
        <v>76632</v>
      </c>
      <c r="G7" s="72" t="s">
        <v>207</v>
      </c>
      <c r="H7" s="72" t="s">
        <v>208</v>
      </c>
      <c r="I7" s="71">
        <f>SUM($E$5:E7)</f>
        <v>2647.14</v>
      </c>
      <c r="K7" s="20" t="s">
        <v>209</v>
      </c>
    </row>
    <row r="8" spans="1:11" ht="36" x14ac:dyDescent="0.2">
      <c r="A8" s="73">
        <v>46095</v>
      </c>
      <c r="B8" s="72" t="s">
        <v>213</v>
      </c>
      <c r="C8" s="72" t="s">
        <v>514</v>
      </c>
      <c r="D8" s="72" t="s">
        <v>501</v>
      </c>
      <c r="E8" s="71">
        <v>500</v>
      </c>
      <c r="F8" s="70">
        <v>76632</v>
      </c>
      <c r="G8" s="72" t="s">
        <v>201</v>
      </c>
      <c r="H8" s="72" t="s">
        <v>504</v>
      </c>
      <c r="I8" s="71">
        <f>SUM($E$5:E8)</f>
        <v>3147.14</v>
      </c>
      <c r="K8" s="20" t="s">
        <v>210</v>
      </c>
    </row>
    <row r="9" spans="1:11" x14ac:dyDescent="0.2">
      <c r="A9" s="73">
        <v>46132</v>
      </c>
      <c r="B9" s="72" t="s">
        <v>173</v>
      </c>
      <c r="C9" s="72" t="s">
        <v>516</v>
      </c>
      <c r="D9" s="72" t="s">
        <v>515</v>
      </c>
      <c r="E9" s="71">
        <v>440</v>
      </c>
      <c r="F9" s="70">
        <v>77000</v>
      </c>
      <c r="G9" s="72" t="s">
        <v>201</v>
      </c>
      <c r="H9" s="72" t="s">
        <v>552</v>
      </c>
      <c r="I9" s="71">
        <f>SUM($E$5:E9)</f>
        <v>3587.14</v>
      </c>
      <c r="K9" s="20"/>
    </row>
    <row r="10" spans="1:11" ht="24.75" x14ac:dyDescent="0.2">
      <c r="A10" s="73">
        <v>46154</v>
      </c>
      <c r="B10" s="72" t="s">
        <v>203</v>
      </c>
      <c r="C10" s="72" t="s">
        <v>513</v>
      </c>
      <c r="D10" s="72" t="s">
        <v>511</v>
      </c>
      <c r="E10" s="71">
        <v>570</v>
      </c>
      <c r="F10" s="70">
        <v>78840</v>
      </c>
      <c r="G10" s="72" t="s">
        <v>201</v>
      </c>
      <c r="H10" s="72" t="s">
        <v>512</v>
      </c>
      <c r="I10" s="4">
        <f>SUM($E$5:E10)</f>
        <v>4157.1399999999994</v>
      </c>
      <c r="K10" s="20" t="s">
        <v>198</v>
      </c>
    </row>
    <row r="11" spans="1:11" x14ac:dyDescent="0.2">
      <c r="A11" s="69">
        <v>46154</v>
      </c>
      <c r="B11" s="15" t="s">
        <v>210</v>
      </c>
      <c r="C11" s="15" t="s">
        <v>517</v>
      </c>
      <c r="D11" s="15" t="s">
        <v>518</v>
      </c>
      <c r="E11" s="4">
        <v>13.99</v>
      </c>
      <c r="F11" s="19">
        <v>78840</v>
      </c>
      <c r="G11" s="15" t="s">
        <v>201</v>
      </c>
      <c r="H11" s="15" t="s">
        <v>519</v>
      </c>
      <c r="I11" s="4">
        <f>SUM($E$5:E11)</f>
        <v>4171.1299999999992</v>
      </c>
      <c r="K11" s="20" t="s">
        <v>204</v>
      </c>
    </row>
    <row r="12" spans="1:11" x14ac:dyDescent="0.2">
      <c r="A12" s="69">
        <v>46157</v>
      </c>
      <c r="B12" s="15" t="s">
        <v>197</v>
      </c>
      <c r="C12" s="15" t="s">
        <v>197</v>
      </c>
      <c r="D12" s="15" t="s">
        <v>544</v>
      </c>
      <c r="E12" s="4">
        <v>453.17</v>
      </c>
      <c r="F12" s="19">
        <v>79031</v>
      </c>
      <c r="G12" s="15" t="s">
        <v>201</v>
      </c>
      <c r="H12" s="15" t="s">
        <v>545</v>
      </c>
      <c r="I12" s="4">
        <f>SUM($E$5:E12)</f>
        <v>4624.2999999999993</v>
      </c>
      <c r="K12" s="20"/>
    </row>
    <row r="13" spans="1:11" x14ac:dyDescent="0.2">
      <c r="A13" s="69">
        <v>46162</v>
      </c>
      <c r="B13" s="15" t="s">
        <v>212</v>
      </c>
      <c r="C13" s="15" t="s">
        <v>212</v>
      </c>
      <c r="D13" s="15" t="s">
        <v>547</v>
      </c>
      <c r="E13" s="4">
        <v>24</v>
      </c>
      <c r="F13" s="19">
        <v>79031</v>
      </c>
      <c r="G13" s="15" t="s">
        <v>201</v>
      </c>
      <c r="H13" s="15" t="s">
        <v>548</v>
      </c>
      <c r="I13" s="4">
        <f>SUM($E$5:E13)</f>
        <v>4648.2999999999993</v>
      </c>
      <c r="K13" s="20" t="s">
        <v>211</v>
      </c>
    </row>
    <row r="14" spans="1:11" x14ac:dyDescent="0.2">
      <c r="A14" s="69">
        <v>46165</v>
      </c>
      <c r="B14" s="15" t="s">
        <v>197</v>
      </c>
      <c r="C14" s="15" t="s">
        <v>197</v>
      </c>
      <c r="D14" s="15" t="s">
        <v>544</v>
      </c>
      <c r="E14" s="4">
        <v>67.61</v>
      </c>
      <c r="F14" s="19">
        <v>79316</v>
      </c>
      <c r="G14" s="15" t="s">
        <v>201</v>
      </c>
      <c r="H14" s="15"/>
      <c r="I14" s="4">
        <f>SUM($E$5:E14)</f>
        <v>4715.9099999999989</v>
      </c>
      <c r="K14" s="20" t="s">
        <v>212</v>
      </c>
    </row>
    <row r="15" spans="1:11" x14ac:dyDescent="0.2">
      <c r="A15" s="69">
        <v>46179</v>
      </c>
      <c r="B15" s="15" t="s">
        <v>197</v>
      </c>
      <c r="C15" s="15" t="s">
        <v>555</v>
      </c>
      <c r="D15" s="15" t="s">
        <v>556</v>
      </c>
      <c r="E15" s="4">
        <v>73.55</v>
      </c>
      <c r="F15" s="19">
        <v>79911</v>
      </c>
      <c r="G15" s="15" t="s">
        <v>201</v>
      </c>
      <c r="H15" s="15"/>
      <c r="I15" s="4">
        <f>SUM($E$5:E15)</f>
        <v>4789.4599999999991</v>
      </c>
      <c r="K15" s="20" t="s">
        <v>173</v>
      </c>
    </row>
    <row r="16" spans="1:11" x14ac:dyDescent="0.2">
      <c r="A16" s="69">
        <v>46187</v>
      </c>
      <c r="B16" s="15" t="s">
        <v>197</v>
      </c>
      <c r="C16" s="15" t="s">
        <v>197</v>
      </c>
      <c r="D16" s="15" t="s">
        <v>558</v>
      </c>
      <c r="E16" s="4">
        <v>72.52</v>
      </c>
      <c r="F16" s="19">
        <v>80197</v>
      </c>
      <c r="G16" s="15" t="s">
        <v>201</v>
      </c>
      <c r="H16" s="15"/>
      <c r="I16" s="4">
        <f>SUM($E$5:E16)</f>
        <v>4861.9799999999996</v>
      </c>
      <c r="K16" s="20" t="s">
        <v>213</v>
      </c>
    </row>
    <row r="17" spans="1:11" ht="24.75" x14ac:dyDescent="0.2">
      <c r="A17" s="69">
        <v>46192</v>
      </c>
      <c r="B17" s="15" t="s">
        <v>213</v>
      </c>
      <c r="C17" s="15" t="s">
        <v>514</v>
      </c>
      <c r="D17" s="15" t="s">
        <v>440</v>
      </c>
      <c r="E17" s="4">
        <v>131.88</v>
      </c>
      <c r="F17" s="19">
        <v>80400</v>
      </c>
      <c r="G17" s="15" t="s">
        <v>201</v>
      </c>
      <c r="H17" s="15" t="s">
        <v>560</v>
      </c>
      <c r="I17" s="4">
        <f>SUM($E$5:E17)</f>
        <v>4993.8599999999997</v>
      </c>
      <c r="K17" s="20" t="s">
        <v>214</v>
      </c>
    </row>
    <row r="18" spans="1:11" x14ac:dyDescent="0.2">
      <c r="A18" s="69">
        <v>46192</v>
      </c>
      <c r="B18" s="15" t="s">
        <v>210</v>
      </c>
      <c r="C18" s="15" t="s">
        <v>561</v>
      </c>
      <c r="D18" s="15" t="s">
        <v>562</v>
      </c>
      <c r="E18" s="4">
        <v>20</v>
      </c>
      <c r="F18" s="19">
        <v>80400</v>
      </c>
      <c r="G18" s="15" t="s">
        <v>201</v>
      </c>
      <c r="H18" s="15" t="s">
        <v>563</v>
      </c>
      <c r="I18" s="4">
        <f>SUM($E$5:E18)</f>
        <v>5013.8599999999997</v>
      </c>
      <c r="K18" s="20" t="s">
        <v>192</v>
      </c>
    </row>
    <row r="19" spans="1:11" x14ac:dyDescent="0.2">
      <c r="A19" s="69">
        <v>46196</v>
      </c>
      <c r="B19" s="15" t="s">
        <v>197</v>
      </c>
      <c r="C19" s="15" t="s">
        <v>197</v>
      </c>
      <c r="D19" s="15" t="s">
        <v>544</v>
      </c>
      <c r="E19" s="4">
        <v>58.85</v>
      </c>
      <c r="F19" s="19">
        <v>80449</v>
      </c>
      <c r="G19" s="15" t="s">
        <v>201</v>
      </c>
      <c r="H19" s="15"/>
      <c r="I19" s="4">
        <f>SUM($E$5:E19)</f>
        <v>5072.71</v>
      </c>
      <c r="K19" s="20" t="s">
        <v>215</v>
      </c>
    </row>
    <row r="20" spans="1:11" x14ac:dyDescent="0.2">
      <c r="A20" s="69">
        <v>46203</v>
      </c>
      <c r="B20" s="15" t="s">
        <v>212</v>
      </c>
      <c r="C20" s="15" t="s">
        <v>212</v>
      </c>
      <c r="D20" s="15" t="s">
        <v>547</v>
      </c>
      <c r="E20" s="4">
        <v>16</v>
      </c>
      <c r="F20" s="19">
        <v>80450</v>
      </c>
      <c r="G20" s="15" t="s">
        <v>201</v>
      </c>
      <c r="H20" s="15"/>
      <c r="I20" s="4">
        <f>SUM($E$5:E20)</f>
        <v>5088.71</v>
      </c>
    </row>
    <row r="21" spans="1:11" x14ac:dyDescent="0.2">
      <c r="A21" s="69">
        <v>46211</v>
      </c>
      <c r="B21" s="15" t="s">
        <v>211</v>
      </c>
      <c r="C21" s="15" t="s">
        <v>211</v>
      </c>
      <c r="D21" s="15" t="s">
        <v>511</v>
      </c>
      <c r="E21" s="4">
        <v>58</v>
      </c>
      <c r="F21" s="19">
        <v>80705</v>
      </c>
      <c r="G21" s="15" t="s">
        <v>201</v>
      </c>
      <c r="H21" s="15" t="s">
        <v>584</v>
      </c>
      <c r="I21" s="4">
        <f>SUM($E$5:E21)</f>
        <v>5146.71</v>
      </c>
    </row>
    <row r="22" spans="1:11" x14ac:dyDescent="0.2">
      <c r="A22" s="69"/>
      <c r="B22" s="15"/>
      <c r="C22" s="15"/>
      <c r="D22" s="15"/>
      <c r="E22" s="4"/>
      <c r="F22" s="19"/>
      <c r="G22" s="15"/>
      <c r="H22" s="15"/>
      <c r="I22" s="4">
        <f>SUM($E$5:E22)</f>
        <v>5146.71</v>
      </c>
    </row>
    <row r="23" spans="1:11" x14ac:dyDescent="0.2">
      <c r="A23" s="69"/>
      <c r="B23" s="15"/>
      <c r="C23" s="15"/>
      <c r="D23" s="15"/>
      <c r="E23" s="4"/>
      <c r="F23" s="19"/>
      <c r="G23" s="15"/>
      <c r="H23" s="15"/>
      <c r="I23" s="4">
        <f>SUM($E$5:E23)</f>
        <v>5146.71</v>
      </c>
    </row>
    <row r="24" spans="1:11" x14ac:dyDescent="0.2">
      <c r="A24" s="69"/>
      <c r="B24" s="15"/>
      <c r="C24" s="15"/>
      <c r="D24" s="15"/>
      <c r="E24" s="4"/>
      <c r="F24" s="19"/>
      <c r="G24" s="15"/>
      <c r="H24" s="15"/>
      <c r="I24" s="4">
        <f>SUM($E$5:E24)</f>
        <v>5146.71</v>
      </c>
    </row>
    <row r="25" spans="1:11" x14ac:dyDescent="0.2">
      <c r="A25" s="69"/>
      <c r="B25" s="15"/>
      <c r="C25" s="15"/>
      <c r="D25" s="15"/>
      <c r="E25" s="4"/>
      <c r="F25" s="19"/>
      <c r="G25" s="15"/>
      <c r="H25" s="15"/>
      <c r="I25" s="4">
        <f>SUM($E$5:E25)</f>
        <v>5146.71</v>
      </c>
    </row>
    <row r="26" spans="1:11" x14ac:dyDescent="0.2">
      <c r="A26" s="69"/>
      <c r="B26" s="15"/>
      <c r="C26" s="15"/>
      <c r="D26" s="15"/>
      <c r="E26" s="4"/>
      <c r="F26" s="19"/>
      <c r="G26" s="15"/>
      <c r="H26" s="15"/>
      <c r="I26" s="4">
        <f>SUM($E$5:E26)</f>
        <v>5146.71</v>
      </c>
    </row>
    <row r="27" spans="1:11" x14ac:dyDescent="0.2">
      <c r="A27" s="69"/>
      <c r="B27" s="15"/>
      <c r="C27" s="15"/>
      <c r="D27" s="15"/>
      <c r="E27" s="4"/>
      <c r="F27" s="19"/>
      <c r="G27" s="15"/>
      <c r="H27" s="15"/>
      <c r="I27" s="4">
        <f>SUM($E$5:E27)</f>
        <v>5146.71</v>
      </c>
    </row>
    <row r="28" spans="1:11" x14ac:dyDescent="0.2">
      <c r="A28" s="69"/>
      <c r="B28" s="15"/>
      <c r="C28" s="15"/>
      <c r="D28" s="15"/>
      <c r="E28" s="4"/>
      <c r="F28" s="19"/>
      <c r="G28" s="15"/>
      <c r="H28" s="15"/>
      <c r="I28" s="4">
        <f>SUM($E$5:E28)</f>
        <v>5146.71</v>
      </c>
    </row>
    <row r="29" spans="1:11" x14ac:dyDescent="0.2">
      <c r="A29" s="69"/>
      <c r="B29" s="15"/>
      <c r="C29" s="15"/>
      <c r="D29" s="15"/>
      <c r="E29" s="4"/>
      <c r="F29" s="19"/>
      <c r="G29" s="15"/>
      <c r="H29" s="15"/>
      <c r="I29" s="4">
        <f>SUM($E$5:E29)</f>
        <v>5146.71</v>
      </c>
    </row>
    <row r="30" spans="1:11" x14ac:dyDescent="0.2">
      <c r="A30" s="69"/>
      <c r="B30" s="15"/>
      <c r="C30" s="15"/>
      <c r="D30" s="15"/>
      <c r="E30" s="4"/>
      <c r="F30" s="19"/>
      <c r="G30" s="15"/>
      <c r="H30" s="15"/>
      <c r="I30" s="4">
        <f>SUM($E$5:E30)</f>
        <v>5146.71</v>
      </c>
    </row>
    <row r="31" spans="1:11" x14ac:dyDescent="0.2">
      <c r="A31" s="69"/>
      <c r="B31" s="15"/>
      <c r="C31" s="15"/>
      <c r="D31" s="15"/>
      <c r="E31" s="4"/>
      <c r="F31" s="19"/>
      <c r="G31" s="15"/>
      <c r="H31" s="15"/>
      <c r="I31" s="4">
        <f>SUM($E$5:E31)</f>
        <v>5146.71</v>
      </c>
    </row>
    <row r="32" spans="1:11" x14ac:dyDescent="0.2">
      <c r="A32" s="69"/>
      <c r="B32" s="15"/>
      <c r="C32" s="15"/>
      <c r="D32" s="15"/>
      <c r="E32" s="4"/>
      <c r="F32" s="19"/>
      <c r="G32" s="15"/>
      <c r="H32" s="15"/>
      <c r="I32" s="4">
        <f>SUM($E$5:E32)</f>
        <v>5146.71</v>
      </c>
    </row>
    <row r="33" spans="1:9" x14ac:dyDescent="0.2">
      <c r="A33" s="69"/>
      <c r="B33" s="15"/>
      <c r="C33" s="15"/>
      <c r="D33" s="15"/>
      <c r="E33" s="4"/>
      <c r="F33" s="19"/>
      <c r="G33" s="15"/>
      <c r="H33" s="15"/>
      <c r="I33" s="4">
        <f>SUM($E$5:E33)</f>
        <v>5146.71</v>
      </c>
    </row>
    <row r="34" spans="1:9" x14ac:dyDescent="0.2">
      <c r="A34" s="69"/>
      <c r="B34" s="15"/>
      <c r="C34" s="15"/>
      <c r="D34" s="15"/>
      <c r="E34" s="4"/>
      <c r="F34" s="19"/>
      <c r="G34" s="15"/>
      <c r="H34" s="15"/>
      <c r="I34" s="4">
        <f>SUM($E$5:E34)</f>
        <v>5146.71</v>
      </c>
    </row>
    <row r="35" spans="1:9" x14ac:dyDescent="0.2">
      <c r="A35" s="69"/>
      <c r="B35" s="15"/>
      <c r="C35" s="15"/>
      <c r="D35" s="15"/>
      <c r="E35" s="4"/>
      <c r="F35" s="19"/>
      <c r="G35" s="15"/>
      <c r="H35" s="15"/>
      <c r="I35" s="4">
        <f>SUM($E$5:E35)</f>
        <v>5146.71</v>
      </c>
    </row>
    <row r="36" spans="1:9" x14ac:dyDescent="0.2">
      <c r="A36" s="69"/>
      <c r="B36" s="15"/>
      <c r="C36" s="15"/>
      <c r="D36" s="15"/>
      <c r="E36" s="4"/>
      <c r="F36" s="19"/>
      <c r="G36" s="15"/>
      <c r="H36" s="15"/>
      <c r="I36" s="4">
        <f>SUM($E$5:E36)</f>
        <v>5146.71</v>
      </c>
    </row>
    <row r="37" spans="1:9" x14ac:dyDescent="0.2">
      <c r="A37" s="69"/>
      <c r="B37" s="15"/>
      <c r="C37" s="15"/>
      <c r="D37" s="15"/>
      <c r="E37" s="4"/>
      <c r="F37" s="19"/>
      <c r="G37" s="15"/>
      <c r="H37" s="15"/>
      <c r="I37" s="4">
        <f>SUM($E$5:E37)</f>
        <v>5146.71</v>
      </c>
    </row>
    <row r="38" spans="1:9" x14ac:dyDescent="0.2">
      <c r="A38" s="69"/>
      <c r="B38" s="15"/>
      <c r="C38" s="15"/>
      <c r="D38" s="15"/>
      <c r="E38" s="4"/>
      <c r="F38" s="19"/>
      <c r="G38" s="15"/>
      <c r="H38" s="15"/>
      <c r="I38" s="4">
        <f>SUM($E$5:E38)</f>
        <v>5146.71</v>
      </c>
    </row>
    <row r="39" spans="1:9" x14ac:dyDescent="0.2">
      <c r="A39" s="69"/>
      <c r="B39" s="15"/>
      <c r="C39" s="15"/>
      <c r="D39" s="15"/>
      <c r="E39" s="4"/>
      <c r="F39" s="19"/>
      <c r="G39" s="15"/>
      <c r="H39" s="15"/>
      <c r="I39" s="4">
        <f>SUM($E$5:E39)</f>
        <v>5146.71</v>
      </c>
    </row>
    <row r="40" spans="1:9" x14ac:dyDescent="0.2">
      <c r="A40" s="69"/>
      <c r="B40" s="15"/>
      <c r="C40" s="15"/>
      <c r="D40" s="15"/>
      <c r="E40" s="4"/>
      <c r="F40" s="19"/>
      <c r="G40" s="15"/>
      <c r="H40" s="15"/>
      <c r="I40" s="4">
        <f>SUM($E$5:E40)</f>
        <v>5146.71</v>
      </c>
    </row>
    <row r="41" spans="1:9" x14ac:dyDescent="0.2">
      <c r="A41" s="69"/>
      <c r="B41" s="15"/>
      <c r="C41" s="15"/>
      <c r="D41" s="15"/>
      <c r="E41" s="4"/>
      <c r="F41" s="19"/>
      <c r="G41" s="15"/>
      <c r="H41" s="15"/>
      <c r="I41" s="4">
        <f>SUM($E$5:E41)</f>
        <v>5146.71</v>
      </c>
    </row>
    <row r="42" spans="1:9" x14ac:dyDescent="0.2">
      <c r="A42" s="69"/>
      <c r="B42" s="15"/>
      <c r="C42" s="15"/>
      <c r="D42" s="15"/>
      <c r="E42" s="4"/>
      <c r="F42" s="19"/>
      <c r="G42" s="15"/>
      <c r="H42" s="15"/>
      <c r="I42" s="75">
        <f>SUM($E$5:E53)</f>
        <v>5146.71</v>
      </c>
    </row>
    <row r="43" spans="1:9" x14ac:dyDescent="0.2">
      <c r="A43" s="69"/>
      <c r="B43" s="15"/>
      <c r="C43" s="15"/>
      <c r="D43" s="15"/>
      <c r="E43" s="4"/>
      <c r="F43" s="19"/>
      <c r="G43" s="15"/>
      <c r="H43" s="15"/>
      <c r="I43" s="4">
        <f>SUM($E$5:E43)</f>
        <v>5146.71</v>
      </c>
    </row>
    <row r="44" spans="1:9" x14ac:dyDescent="0.2">
      <c r="A44" s="69"/>
      <c r="B44" s="15"/>
      <c r="C44" s="15"/>
      <c r="D44" s="15"/>
      <c r="E44" s="4"/>
      <c r="F44" s="19"/>
      <c r="G44" s="15"/>
      <c r="H44" s="15"/>
      <c r="I44" s="4">
        <f>SUM($E$5:E44)</f>
        <v>5146.71</v>
      </c>
    </row>
    <row r="45" spans="1:9" x14ac:dyDescent="0.2">
      <c r="A45" s="69"/>
      <c r="B45" s="15"/>
      <c r="C45" s="15"/>
      <c r="D45" s="15"/>
      <c r="E45" s="4"/>
      <c r="F45" s="19"/>
      <c r="G45" s="15"/>
      <c r="H45" s="15"/>
      <c r="I45" s="4">
        <f>SUM($E$5:E45)</f>
        <v>5146.71</v>
      </c>
    </row>
    <row r="46" spans="1:9" x14ac:dyDescent="0.2">
      <c r="A46" s="69"/>
      <c r="B46" s="15"/>
      <c r="C46" s="15"/>
      <c r="D46" s="15"/>
      <c r="E46" s="4"/>
      <c r="F46" s="19"/>
      <c r="G46" s="15"/>
      <c r="H46" s="15"/>
      <c r="I46" s="4">
        <f>SUM($E$5:E46)</f>
        <v>5146.71</v>
      </c>
    </row>
    <row r="47" spans="1:9" x14ac:dyDescent="0.2">
      <c r="A47" s="69"/>
      <c r="B47" s="15"/>
      <c r="C47" s="15"/>
      <c r="D47" s="15"/>
      <c r="E47" s="4"/>
      <c r="F47" s="19"/>
      <c r="G47" s="15"/>
      <c r="H47" s="15"/>
      <c r="I47" s="4">
        <f>SUM($E$5:E47)</f>
        <v>5146.71</v>
      </c>
    </row>
    <row r="48" spans="1:9" x14ac:dyDescent="0.2">
      <c r="A48" s="69"/>
      <c r="B48" s="15"/>
      <c r="C48" s="15"/>
      <c r="D48" s="15"/>
      <c r="E48" s="4"/>
      <c r="F48" s="19"/>
      <c r="G48" s="15"/>
      <c r="H48" s="15"/>
      <c r="I48" s="4">
        <f>SUM($E$5:E48)</f>
        <v>5146.71</v>
      </c>
    </row>
    <row r="49" spans="1:9" x14ac:dyDescent="0.2">
      <c r="A49" s="69"/>
      <c r="B49" s="15"/>
      <c r="C49" s="15"/>
      <c r="D49" s="15"/>
      <c r="E49" s="4"/>
      <c r="F49" s="19"/>
      <c r="G49" s="15"/>
      <c r="H49" s="15"/>
      <c r="I49" s="4">
        <f>SUM($E$5:E49)</f>
        <v>5146.71</v>
      </c>
    </row>
    <row r="50" spans="1:9" x14ac:dyDescent="0.2">
      <c r="A50" s="69"/>
      <c r="B50" s="15"/>
      <c r="C50" s="15"/>
      <c r="D50" s="15"/>
      <c r="E50" s="4"/>
      <c r="F50" s="19"/>
      <c r="G50" s="15"/>
      <c r="H50" s="15"/>
      <c r="I50" s="4">
        <f>SUM($E$5:E50)</f>
        <v>5146.71</v>
      </c>
    </row>
    <row r="51" spans="1:9" x14ac:dyDescent="0.2">
      <c r="A51" s="69"/>
      <c r="B51" s="15"/>
      <c r="C51" s="15"/>
      <c r="D51" s="15"/>
      <c r="E51" s="4"/>
      <c r="F51" s="19"/>
      <c r="G51" s="15"/>
      <c r="H51" s="15"/>
      <c r="I51" s="4">
        <f>SUM($E$5:E51)</f>
        <v>5146.71</v>
      </c>
    </row>
    <row r="52" spans="1:9" x14ac:dyDescent="0.2">
      <c r="A52" s="69"/>
      <c r="B52" s="15"/>
      <c r="C52" s="15"/>
      <c r="D52" s="15"/>
      <c r="E52" s="4"/>
      <c r="F52" s="19"/>
      <c r="G52" s="15"/>
      <c r="H52" s="15"/>
      <c r="I52" s="4">
        <f>SUM($E$5:E52)</f>
        <v>5146.71</v>
      </c>
    </row>
    <row r="53" spans="1:9" x14ac:dyDescent="0.2">
      <c r="A53" s="79"/>
      <c r="B53" s="55"/>
      <c r="C53" s="55"/>
      <c r="D53" s="55"/>
      <c r="E53" s="56"/>
      <c r="F53" s="80"/>
      <c r="G53" s="55"/>
      <c r="H53" s="55"/>
      <c r="I53" s="56">
        <f>SUM($E$5:E53)</f>
        <v>5146.71</v>
      </c>
    </row>
    <row r="207" spans="1:8" x14ac:dyDescent="0.2">
      <c r="A207" s="21" t="s">
        <v>216</v>
      </c>
      <c r="B207" s="22"/>
      <c r="C207" s="22"/>
      <c r="D207" s="22"/>
      <c r="E207" s="23">
        <f>SUM(E5:E206)</f>
        <v>5146.71</v>
      </c>
      <c r="F207" s="22"/>
      <c r="G207" s="22"/>
      <c r="H207" s="2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L202"/>
  <sheetViews>
    <sheetView tabSelected="1" zoomScaleNormal="100" workbookViewId="0">
      <pane ySplit="5" topLeftCell="A6" activePane="bottomLeft" state="frozen"/>
      <selection activeCell="E1" sqref="E1"/>
      <selection pane="bottomLeft" activeCell="I18" sqref="I18"/>
    </sheetView>
  </sheetViews>
  <sheetFormatPr defaultColWidth="8.7421875" defaultRowHeight="15" x14ac:dyDescent="0.2"/>
  <cols>
    <col min="1" max="1" width="11.97265625" customWidth="1"/>
    <col min="2" max="3" width="9.953125" customWidth="1"/>
    <col min="4" max="5" width="11.97265625" customWidth="1"/>
    <col min="6" max="6" width="16.0078125" customWidth="1"/>
    <col min="7" max="7" width="11.97265625" customWidth="1"/>
    <col min="8" max="8" width="16.27734375" customWidth="1"/>
    <col min="9" max="9" width="31.87890625" customWidth="1"/>
    <col min="10" max="10" width="13.98828125" customWidth="1"/>
    <col min="11" max="11" width="13.71875" customWidth="1"/>
    <col min="12" max="12" width="10.22265625" customWidth="1"/>
  </cols>
  <sheetData>
    <row r="1" spans="1:12" ht="20.25" x14ac:dyDescent="0.25">
      <c r="A1" s="1" t="s">
        <v>217</v>
      </c>
    </row>
    <row r="2" spans="1:12" x14ac:dyDescent="0.2">
      <c r="A2" s="2" t="s">
        <v>218</v>
      </c>
    </row>
    <row r="3" spans="1:12" x14ac:dyDescent="0.2">
      <c r="A3" s="2" t="s">
        <v>219</v>
      </c>
    </row>
    <row r="5" spans="1:12" ht="27.75" customHeight="1" x14ac:dyDescent="0.2">
      <c r="A5" s="17" t="s">
        <v>183</v>
      </c>
      <c r="B5" s="17" t="s">
        <v>188</v>
      </c>
      <c r="C5" s="17" t="s">
        <v>220</v>
      </c>
      <c r="D5" s="17" t="s">
        <v>221</v>
      </c>
      <c r="E5" s="17" t="s">
        <v>222</v>
      </c>
      <c r="F5" s="17" t="s">
        <v>223</v>
      </c>
      <c r="G5" s="17" t="s">
        <v>224</v>
      </c>
      <c r="H5" s="17" t="s">
        <v>505</v>
      </c>
      <c r="I5" s="17" t="s">
        <v>225</v>
      </c>
      <c r="J5" s="17" t="s">
        <v>508</v>
      </c>
      <c r="K5" s="17" t="s">
        <v>509</v>
      </c>
      <c r="L5" s="17" t="s">
        <v>510</v>
      </c>
    </row>
    <row r="6" spans="1:12" x14ac:dyDescent="0.2">
      <c r="A6" s="24">
        <v>46130</v>
      </c>
      <c r="B6" s="25">
        <v>77537</v>
      </c>
      <c r="C6" s="26">
        <v>62</v>
      </c>
      <c r="D6" s="27">
        <v>1.589</v>
      </c>
      <c r="E6" s="28">
        <f t="shared" ref="E6:E37" si="0">IF(OR(C6="",D6=""),"",C6*D6)</f>
        <v>98.518000000000001</v>
      </c>
      <c r="F6" s="29">
        <f>IF(B6="","",B6-77203)</f>
        <v>334</v>
      </c>
      <c r="G6" s="30">
        <f t="shared" ref="G6:G37" si="1">IF(OR(C6="",F6="",C6=0),"",F6*4.54609/C6)</f>
        <v>24.490226774193548</v>
      </c>
      <c r="H6" s="63">
        <f t="shared" ref="H6:H8" si="2">IF(G6="","",282.481/G6)</f>
        <v>11.534437904742594</v>
      </c>
      <c r="I6" s="31" t="s">
        <v>507</v>
      </c>
      <c r="J6" s="64">
        <f>IF(G6="","",ROUND(G6*(61/4.54609),0))</f>
        <v>329</v>
      </c>
      <c r="K6" s="64">
        <f>IF(G6="","",J6/2)</f>
        <v>164.5</v>
      </c>
      <c r="L6" s="64">
        <f>IF(G6="","",J6/4)</f>
        <v>82.25</v>
      </c>
    </row>
    <row r="7" spans="1:12" x14ac:dyDescent="0.2">
      <c r="A7" s="24">
        <v>46130</v>
      </c>
      <c r="B7" s="25">
        <v>77770</v>
      </c>
      <c r="C7" s="26">
        <v>36.78</v>
      </c>
      <c r="D7" s="27">
        <v>1.589</v>
      </c>
      <c r="E7" s="28">
        <f t="shared" ref="E7" si="3">IF(OR(C7="",D7=""),"",C7*D7)</f>
        <v>58.443420000000003</v>
      </c>
      <c r="F7" s="29">
        <f>IF(B7="","",B7-IFERROR(LOOKUP(2,1/(B$6:B6&lt;&gt;""),B$6:B6),76632))</f>
        <v>233</v>
      </c>
      <c r="G7" s="30">
        <f t="shared" si="1"/>
        <v>28.799319467101689</v>
      </c>
      <c r="H7" s="63">
        <f t="shared" si="2"/>
        <v>9.808599828988541</v>
      </c>
      <c r="I7" s="31" t="s">
        <v>507</v>
      </c>
      <c r="J7" s="64">
        <f t="shared" ref="J7:J70" si="4">IF(G7="","",ROUND(G7*(61/4.54609),0))</f>
        <v>386</v>
      </c>
      <c r="K7" s="64">
        <f t="shared" ref="K7:K70" si="5">IF(G7="","",J7/2)</f>
        <v>193</v>
      </c>
      <c r="L7" s="64">
        <f t="shared" ref="L7:L70" si="6">IF(G7="","",J7/4)</f>
        <v>96.5</v>
      </c>
    </row>
    <row r="8" spans="1:12" x14ac:dyDescent="0.2">
      <c r="A8" s="24">
        <v>46133</v>
      </c>
      <c r="B8" s="25">
        <v>78079</v>
      </c>
      <c r="C8" s="26">
        <v>45.81</v>
      </c>
      <c r="D8" s="27">
        <v>1.569</v>
      </c>
      <c r="E8" s="28">
        <f t="shared" si="0"/>
        <v>71.875889999999998</v>
      </c>
      <c r="F8" s="29">
        <f>IF(B8="","",B8-IFERROR(LOOKUP(2,1/(B$6:B7&lt;&gt;""),B$6:B7),76632))</f>
        <v>309</v>
      </c>
      <c r="G8" s="30">
        <f t="shared" si="1"/>
        <v>30.664523248199085</v>
      </c>
      <c r="H8" s="63">
        <f t="shared" si="2"/>
        <v>9.2119808194503729</v>
      </c>
      <c r="I8" s="31" t="s">
        <v>506</v>
      </c>
      <c r="J8" s="64">
        <f t="shared" si="4"/>
        <v>411</v>
      </c>
      <c r="K8" s="64">
        <f t="shared" si="5"/>
        <v>205.5</v>
      </c>
      <c r="L8" s="64">
        <f t="shared" si="6"/>
        <v>102.75</v>
      </c>
    </row>
    <row r="9" spans="1:12" x14ac:dyDescent="0.2">
      <c r="A9" s="24">
        <v>46143</v>
      </c>
      <c r="B9" s="25">
        <v>78403</v>
      </c>
      <c r="C9" s="26">
        <v>45.81</v>
      </c>
      <c r="D9" s="27">
        <v>1.569</v>
      </c>
      <c r="E9" s="28">
        <f t="shared" si="0"/>
        <v>71.875889999999998</v>
      </c>
      <c r="F9" s="29">
        <f>IF(B9="","",B9-IFERROR(LOOKUP(2,1/(B$6:B8&lt;&gt;""),B$6:B8),76632))</f>
        <v>324</v>
      </c>
      <c r="G9" s="30">
        <f t="shared" si="1"/>
        <v>32.153092337917485</v>
      </c>
      <c r="H9" s="63">
        <f>IF(G9="","",282.481/G9)</f>
        <v>8.7855002259572998</v>
      </c>
      <c r="I9" s="31"/>
      <c r="J9" s="64">
        <f t="shared" si="4"/>
        <v>431</v>
      </c>
      <c r="K9" s="64">
        <f t="shared" si="5"/>
        <v>215.5</v>
      </c>
      <c r="L9" s="64">
        <f t="shared" si="6"/>
        <v>107.75</v>
      </c>
    </row>
    <row r="10" spans="1:12" x14ac:dyDescent="0.2">
      <c r="A10" s="24">
        <v>46145</v>
      </c>
      <c r="B10" s="25">
        <v>78513</v>
      </c>
      <c r="C10" s="26">
        <v>18.739999999999998</v>
      </c>
      <c r="D10" s="27">
        <v>1.575</v>
      </c>
      <c r="E10" s="28">
        <f t="shared" si="0"/>
        <v>29.515499999999996</v>
      </c>
      <c r="F10" s="29">
        <f>IF(B10="","",B10-IFERROR(LOOKUP(2,1/(B$6:B9&lt;&gt;""),B$6:B9),76632))</f>
        <v>110</v>
      </c>
      <c r="G10" s="30">
        <f t="shared" si="1"/>
        <v>26.684626467449309</v>
      </c>
      <c r="H10" s="63">
        <f t="shared" ref="H10:H73" si="7">IF(G10="","",282.481/G10)</f>
        <v>10.585907970065783</v>
      </c>
      <c r="I10" s="31" t="s">
        <v>506</v>
      </c>
      <c r="J10" s="64">
        <f t="shared" si="4"/>
        <v>358</v>
      </c>
      <c r="K10" s="64">
        <f t="shared" si="5"/>
        <v>179</v>
      </c>
      <c r="L10" s="64">
        <f t="shared" si="6"/>
        <v>89.5</v>
      </c>
    </row>
    <row r="11" spans="1:12" x14ac:dyDescent="0.2">
      <c r="A11" s="24">
        <v>46155</v>
      </c>
      <c r="B11" s="25">
        <v>78846</v>
      </c>
      <c r="C11" s="26">
        <v>50.65</v>
      </c>
      <c r="D11" s="27">
        <v>1.579</v>
      </c>
      <c r="E11" s="28">
        <f t="shared" si="0"/>
        <v>79.976349999999996</v>
      </c>
      <c r="F11" s="29">
        <f>IF(B11="","",B11-IFERROR(LOOKUP(2,1/(B$6:B10&lt;&gt;""),B$6:B10),76632))</f>
        <v>333</v>
      </c>
      <c r="G11" s="30">
        <f t="shared" si="1"/>
        <v>29.888410069101681</v>
      </c>
      <c r="H11" s="63">
        <f t="shared" si="7"/>
        <v>9.4511885826949964</v>
      </c>
      <c r="I11" s="31" t="s">
        <v>506</v>
      </c>
      <c r="J11" s="64">
        <f t="shared" si="4"/>
        <v>401</v>
      </c>
      <c r="K11" s="64">
        <f t="shared" si="5"/>
        <v>200.5</v>
      </c>
      <c r="L11" s="64">
        <f t="shared" si="6"/>
        <v>100.25</v>
      </c>
    </row>
    <row r="12" spans="1:12" x14ac:dyDescent="0.2">
      <c r="A12" s="24">
        <v>46159</v>
      </c>
      <c r="B12" s="25">
        <v>79031</v>
      </c>
      <c r="C12" s="26">
        <v>27.21</v>
      </c>
      <c r="D12" s="27">
        <v>1.579</v>
      </c>
      <c r="E12" s="28">
        <f t="shared" si="0"/>
        <v>42.964590000000001</v>
      </c>
      <c r="F12" s="29">
        <f>IF(B12="","",B12-IFERROR(LOOKUP(2,1/(B$6:B11&lt;&gt;""),B$6:B11),76632))</f>
        <v>185</v>
      </c>
      <c r="G12" s="30">
        <f t="shared" si="1"/>
        <v>30.908733921352447</v>
      </c>
      <c r="H12" s="63">
        <f t="shared" si="7"/>
        <v>9.1391967305673365</v>
      </c>
      <c r="I12" s="31" t="s">
        <v>546</v>
      </c>
      <c r="J12" s="64">
        <f t="shared" si="4"/>
        <v>415</v>
      </c>
      <c r="K12" s="64">
        <f t="shared" si="5"/>
        <v>207.5</v>
      </c>
      <c r="L12" s="64">
        <f t="shared" si="6"/>
        <v>103.75</v>
      </c>
    </row>
    <row r="13" spans="1:12" x14ac:dyDescent="0.2">
      <c r="A13" s="24">
        <v>46165</v>
      </c>
      <c r="B13" s="25">
        <v>79316</v>
      </c>
      <c r="C13" s="26">
        <v>42.82</v>
      </c>
      <c r="D13" s="27">
        <v>1.579</v>
      </c>
      <c r="E13" s="28">
        <f t="shared" si="0"/>
        <v>67.612780000000001</v>
      </c>
      <c r="F13" s="29">
        <f>IF(B13="","",B13-IFERROR(LOOKUP(2,1/(B$6:B12&lt;&gt;""),B$6:B12),76632))</f>
        <v>285</v>
      </c>
      <c r="G13" s="30">
        <f t="shared" si="1"/>
        <v>30.257721858944421</v>
      </c>
      <c r="H13" s="63">
        <f t="shared" si="7"/>
        <v>9.335831736337294</v>
      </c>
      <c r="I13" s="31" t="s">
        <v>506</v>
      </c>
      <c r="J13" s="64">
        <f t="shared" si="4"/>
        <v>406</v>
      </c>
      <c r="K13" s="64">
        <f t="shared" si="5"/>
        <v>203</v>
      </c>
      <c r="L13" s="64">
        <f t="shared" si="6"/>
        <v>101.5</v>
      </c>
    </row>
    <row r="14" spans="1:12" x14ac:dyDescent="0.2">
      <c r="A14" s="24">
        <v>46172</v>
      </c>
      <c r="B14" s="25">
        <v>79630</v>
      </c>
      <c r="C14" s="26">
        <v>47.32</v>
      </c>
      <c r="D14" s="27">
        <v>1.659</v>
      </c>
      <c r="E14" s="28">
        <f t="shared" si="0"/>
        <v>78.503879999999995</v>
      </c>
      <c r="F14" s="29">
        <f>IF(B14="","",B14-IFERROR(LOOKUP(2,1/(B$6:B13&lt;&gt;""),B$6:B13),76632))</f>
        <v>314</v>
      </c>
      <c r="G14" s="30">
        <f t="shared" si="1"/>
        <v>30.166362214708375</v>
      </c>
      <c r="H14" s="63">
        <f t="shared" si="7"/>
        <v>9.364105555368198</v>
      </c>
      <c r="I14" s="31" t="s">
        <v>553</v>
      </c>
      <c r="J14" s="64">
        <f t="shared" si="4"/>
        <v>405</v>
      </c>
      <c r="K14" s="64">
        <f t="shared" si="5"/>
        <v>202.5</v>
      </c>
      <c r="L14" s="64">
        <f t="shared" si="6"/>
        <v>101.25</v>
      </c>
    </row>
    <row r="15" spans="1:12" x14ac:dyDescent="0.2">
      <c r="A15" s="24">
        <v>46179</v>
      </c>
      <c r="B15" s="25">
        <v>79911</v>
      </c>
      <c r="C15" s="26">
        <v>45.43</v>
      </c>
      <c r="D15" s="27">
        <v>1.62</v>
      </c>
      <c r="E15" s="28">
        <f t="shared" si="0"/>
        <v>73.596600000000009</v>
      </c>
      <c r="F15" s="29">
        <f>IF(B15="","",B15-IFERROR(LOOKUP(2,1/(B$6:B14&lt;&gt;""),B$6:B14),76632))</f>
        <v>281</v>
      </c>
      <c r="G15" s="30">
        <f t="shared" si="1"/>
        <v>28.119112700858469</v>
      </c>
      <c r="H15" s="63">
        <f t="shared" si="7"/>
        <v>10.045871752965231</v>
      </c>
      <c r="I15" s="31" t="s">
        <v>554</v>
      </c>
      <c r="J15" s="64">
        <f t="shared" si="4"/>
        <v>377</v>
      </c>
      <c r="K15" s="64">
        <f t="shared" si="5"/>
        <v>188.5</v>
      </c>
      <c r="L15" s="64">
        <f t="shared" si="6"/>
        <v>94.25</v>
      </c>
    </row>
    <row r="16" spans="1:12" x14ac:dyDescent="0.2">
      <c r="A16" s="24">
        <v>46187</v>
      </c>
      <c r="B16" s="25">
        <v>80197</v>
      </c>
      <c r="C16" s="26">
        <v>48.38</v>
      </c>
      <c r="D16" s="27">
        <v>1.4990000000000001</v>
      </c>
      <c r="E16" s="28">
        <f t="shared" si="0"/>
        <v>72.521620000000013</v>
      </c>
      <c r="F16" s="29">
        <f>IF(B16="","",B16-IFERROR(LOOKUP(2,1/(B$6:B15&lt;&gt;""),B$6:B15),76632))</f>
        <v>286</v>
      </c>
      <c r="G16" s="30">
        <f t="shared" si="1"/>
        <v>26.874364200082681</v>
      </c>
      <c r="H16" s="63">
        <f t="shared" si="7"/>
        <v>10.511169600028376</v>
      </c>
      <c r="I16" s="31" t="s">
        <v>558</v>
      </c>
      <c r="J16" s="64">
        <f t="shared" si="4"/>
        <v>361</v>
      </c>
      <c r="K16" s="64">
        <f t="shared" si="5"/>
        <v>180.5</v>
      </c>
      <c r="L16" s="64">
        <f t="shared" si="6"/>
        <v>90.25</v>
      </c>
    </row>
    <row r="17" spans="1:12" x14ac:dyDescent="0.2">
      <c r="A17" s="24">
        <v>46196</v>
      </c>
      <c r="B17" s="25">
        <v>80449</v>
      </c>
      <c r="C17" s="26">
        <v>38.49</v>
      </c>
      <c r="D17" s="27">
        <v>1.5289999999999999</v>
      </c>
      <c r="E17" s="28">
        <f t="shared" si="0"/>
        <v>58.851210000000002</v>
      </c>
      <c r="F17" s="29">
        <f>IF(B17="","",B17-IFERROR(LOOKUP(2,1/(B$6:B16&lt;&gt;""),B$6:B16),76632))</f>
        <v>252</v>
      </c>
      <c r="G17" s="30">
        <f t="shared" si="1"/>
        <v>29.763956352299299</v>
      </c>
      <c r="H17" s="63">
        <f t="shared" si="7"/>
        <v>9.4907073729187896</v>
      </c>
      <c r="I17" s="31" t="s">
        <v>564</v>
      </c>
      <c r="J17" s="64">
        <f t="shared" si="4"/>
        <v>399</v>
      </c>
      <c r="K17" s="64">
        <f t="shared" si="5"/>
        <v>199.5</v>
      </c>
      <c r="L17" s="64">
        <f t="shared" si="6"/>
        <v>99.75</v>
      </c>
    </row>
    <row r="18" spans="1:12" x14ac:dyDescent="0.2">
      <c r="A18" s="24">
        <v>46213</v>
      </c>
      <c r="B18" s="25">
        <v>80712</v>
      </c>
      <c r="C18" s="26">
        <v>47.03</v>
      </c>
      <c r="D18" s="27">
        <v>1.7989999999999999</v>
      </c>
      <c r="E18" s="28">
        <f t="shared" si="0"/>
        <v>84.606970000000004</v>
      </c>
      <c r="F18" s="29">
        <f>IF(B18="","",B18-IFERROR(LOOKUP(2,1/(B$6:B17&lt;&gt;""),B$6:B17),76632))</f>
        <v>263</v>
      </c>
      <c r="G18" s="30">
        <f>IF(OR(C18="",F18="",C18=0),"",F18*4.54609/C18)</f>
        <v>25.422531788220283</v>
      </c>
      <c r="H18" s="63">
        <f t="shared" si="7"/>
        <v>11.111442493343233</v>
      </c>
      <c r="I18" s="31" t="s">
        <v>585</v>
      </c>
      <c r="J18" s="64">
        <f t="shared" si="4"/>
        <v>341</v>
      </c>
      <c r="K18" s="64">
        <f t="shared" si="5"/>
        <v>170.5</v>
      </c>
      <c r="L18" s="64">
        <f t="shared" si="6"/>
        <v>85.25</v>
      </c>
    </row>
    <row r="19" spans="1:12" x14ac:dyDescent="0.2">
      <c r="A19" s="24"/>
      <c r="B19" s="25"/>
      <c r="C19" s="26"/>
      <c r="D19" s="27"/>
      <c r="E19" s="28" t="str">
        <f t="shared" si="0"/>
        <v/>
      </c>
      <c r="F19" s="29" t="str">
        <f>IF(B19="","",B19-IFERROR(LOOKUP(2,1/(B$6:B18&lt;&gt;""),B$6:B18),76632))</f>
        <v/>
      </c>
      <c r="G19" s="30" t="str">
        <f t="shared" si="1"/>
        <v/>
      </c>
      <c r="H19" s="63" t="str">
        <f t="shared" si="7"/>
        <v/>
      </c>
      <c r="I19" s="31"/>
      <c r="J19" s="64" t="str">
        <f t="shared" si="4"/>
        <v/>
      </c>
      <c r="K19" s="64" t="str">
        <f t="shared" si="5"/>
        <v/>
      </c>
      <c r="L19" s="64" t="str">
        <f t="shared" si="6"/>
        <v/>
      </c>
    </row>
    <row r="20" spans="1:12" x14ac:dyDescent="0.2">
      <c r="A20" s="24"/>
      <c r="B20" s="25"/>
      <c r="C20" s="26"/>
      <c r="D20" s="27"/>
      <c r="E20" s="28" t="str">
        <f t="shared" si="0"/>
        <v/>
      </c>
      <c r="F20" s="29" t="str">
        <f>IF(B20="","",B20-IFERROR(LOOKUP(2,1/(B$6:B19&lt;&gt;""),B$6:B19),76632))</f>
        <v/>
      </c>
      <c r="G20" s="30" t="str">
        <f t="shared" si="1"/>
        <v/>
      </c>
      <c r="H20" s="63" t="str">
        <f t="shared" si="7"/>
        <v/>
      </c>
      <c r="I20" s="31"/>
      <c r="J20" s="64" t="str">
        <f t="shared" si="4"/>
        <v/>
      </c>
      <c r="K20" s="64" t="str">
        <f t="shared" si="5"/>
        <v/>
      </c>
      <c r="L20" s="64" t="str">
        <f t="shared" si="6"/>
        <v/>
      </c>
    </row>
    <row r="21" spans="1:12" x14ac:dyDescent="0.2">
      <c r="A21" s="24"/>
      <c r="B21" s="25"/>
      <c r="C21" s="26"/>
      <c r="D21" s="27"/>
      <c r="E21" s="28" t="str">
        <f t="shared" si="0"/>
        <v/>
      </c>
      <c r="F21" s="29" t="str">
        <f>IF(B21="","",B21-IFERROR(LOOKUP(2,1/(B$6:B20&lt;&gt;""),B$6:B20),76632))</f>
        <v/>
      </c>
      <c r="G21" s="30" t="str">
        <f t="shared" si="1"/>
        <v/>
      </c>
      <c r="H21" s="63" t="str">
        <f t="shared" si="7"/>
        <v/>
      </c>
      <c r="I21" s="31"/>
      <c r="J21" s="64" t="str">
        <f t="shared" si="4"/>
        <v/>
      </c>
      <c r="K21" s="64" t="str">
        <f t="shared" si="5"/>
        <v/>
      </c>
      <c r="L21" s="64" t="str">
        <f t="shared" si="6"/>
        <v/>
      </c>
    </row>
    <row r="22" spans="1:12" x14ac:dyDescent="0.2">
      <c r="A22" s="24"/>
      <c r="B22" s="25"/>
      <c r="C22" s="26"/>
      <c r="D22" s="27"/>
      <c r="E22" s="28" t="str">
        <f t="shared" si="0"/>
        <v/>
      </c>
      <c r="F22" s="29" t="str">
        <f>IF(B22="","",B22-IFERROR(LOOKUP(2,1/(B$6:B21&lt;&gt;""),B$6:B21),76632))</f>
        <v/>
      </c>
      <c r="G22" s="30" t="str">
        <f t="shared" si="1"/>
        <v/>
      </c>
      <c r="H22" s="63" t="str">
        <f t="shared" si="7"/>
        <v/>
      </c>
      <c r="I22" s="31"/>
      <c r="J22" s="64" t="str">
        <f t="shared" si="4"/>
        <v/>
      </c>
      <c r="K22" s="64" t="str">
        <f t="shared" si="5"/>
        <v/>
      </c>
      <c r="L22" s="64" t="str">
        <f t="shared" si="6"/>
        <v/>
      </c>
    </row>
    <row r="23" spans="1:12" x14ac:dyDescent="0.2">
      <c r="A23" s="24"/>
      <c r="B23" s="25"/>
      <c r="C23" s="26"/>
      <c r="D23" s="27"/>
      <c r="E23" s="28" t="str">
        <f t="shared" si="0"/>
        <v/>
      </c>
      <c r="F23" s="29" t="str">
        <f>IF(B23="","",B23-IFERROR(LOOKUP(2,1/(B$6:B22&lt;&gt;""),B$6:B22),76632))</f>
        <v/>
      </c>
      <c r="G23" s="30" t="str">
        <f t="shared" si="1"/>
        <v/>
      </c>
      <c r="H23" s="63" t="str">
        <f t="shared" si="7"/>
        <v/>
      </c>
      <c r="I23" s="31"/>
      <c r="J23" s="64" t="str">
        <f t="shared" si="4"/>
        <v/>
      </c>
      <c r="K23" s="64" t="str">
        <f t="shared" si="5"/>
        <v/>
      </c>
      <c r="L23" s="64" t="str">
        <f t="shared" si="6"/>
        <v/>
      </c>
    </row>
    <row r="24" spans="1:12" x14ac:dyDescent="0.2">
      <c r="A24" s="24"/>
      <c r="B24" s="25"/>
      <c r="C24" s="26"/>
      <c r="D24" s="27"/>
      <c r="E24" s="28" t="str">
        <f t="shared" si="0"/>
        <v/>
      </c>
      <c r="F24" s="29" t="str">
        <f>IF(B24="","",B24-IFERROR(LOOKUP(2,1/(B$6:B23&lt;&gt;""),B$6:B23),76632))</f>
        <v/>
      </c>
      <c r="G24" s="30" t="str">
        <f t="shared" si="1"/>
        <v/>
      </c>
      <c r="H24" s="63" t="str">
        <f t="shared" si="7"/>
        <v/>
      </c>
      <c r="I24" s="31"/>
      <c r="J24" s="64" t="str">
        <f t="shared" si="4"/>
        <v/>
      </c>
      <c r="K24" s="64" t="str">
        <f t="shared" si="5"/>
        <v/>
      </c>
      <c r="L24" s="64" t="str">
        <f t="shared" si="6"/>
        <v/>
      </c>
    </row>
    <row r="25" spans="1:12" x14ac:dyDescent="0.2">
      <c r="A25" s="24"/>
      <c r="B25" s="25"/>
      <c r="C25" s="26"/>
      <c r="D25" s="27"/>
      <c r="E25" s="28" t="str">
        <f t="shared" si="0"/>
        <v/>
      </c>
      <c r="F25" s="29" t="str">
        <f>IF(B25="","",B25-IFERROR(LOOKUP(2,1/(B$6:B24&lt;&gt;""),B$6:B24),76632))</f>
        <v/>
      </c>
      <c r="G25" s="30" t="str">
        <f t="shared" si="1"/>
        <v/>
      </c>
      <c r="H25" s="63" t="str">
        <f t="shared" si="7"/>
        <v/>
      </c>
      <c r="I25" s="31"/>
      <c r="J25" s="64" t="str">
        <f t="shared" si="4"/>
        <v/>
      </c>
      <c r="K25" s="64" t="str">
        <f t="shared" si="5"/>
        <v/>
      </c>
      <c r="L25" s="64" t="str">
        <f t="shared" si="6"/>
        <v/>
      </c>
    </row>
    <row r="26" spans="1:12" x14ac:dyDescent="0.2">
      <c r="A26" s="24"/>
      <c r="B26" s="25"/>
      <c r="C26" s="26"/>
      <c r="D26" s="27"/>
      <c r="E26" s="28" t="str">
        <f t="shared" si="0"/>
        <v/>
      </c>
      <c r="F26" s="29" t="str">
        <f>IF(B26="","",B26-IFERROR(LOOKUP(2,1/(B$6:B25&lt;&gt;""),B$6:B25),76632))</f>
        <v/>
      </c>
      <c r="G26" s="30" t="str">
        <f t="shared" si="1"/>
        <v/>
      </c>
      <c r="H26" s="63" t="str">
        <f t="shared" si="7"/>
        <v/>
      </c>
      <c r="I26" s="31"/>
      <c r="J26" s="64" t="str">
        <f t="shared" si="4"/>
        <v/>
      </c>
      <c r="K26" s="64" t="str">
        <f t="shared" si="5"/>
        <v/>
      </c>
      <c r="L26" s="64" t="str">
        <f t="shared" si="6"/>
        <v/>
      </c>
    </row>
    <row r="27" spans="1:12" x14ac:dyDescent="0.2">
      <c r="A27" s="24"/>
      <c r="B27" s="25"/>
      <c r="C27" s="26"/>
      <c r="D27" s="27"/>
      <c r="E27" s="28" t="str">
        <f t="shared" si="0"/>
        <v/>
      </c>
      <c r="F27" s="29" t="str">
        <f>IF(B27="","",B27-IFERROR(LOOKUP(2,1/(B$6:B26&lt;&gt;""),B$6:B26),76632))</f>
        <v/>
      </c>
      <c r="G27" s="30" t="str">
        <f t="shared" si="1"/>
        <v/>
      </c>
      <c r="H27" s="63" t="str">
        <f t="shared" si="7"/>
        <v/>
      </c>
      <c r="I27" s="31"/>
      <c r="J27" s="64" t="str">
        <f t="shared" si="4"/>
        <v/>
      </c>
      <c r="K27" s="64" t="str">
        <f t="shared" si="5"/>
        <v/>
      </c>
      <c r="L27" s="64" t="str">
        <f t="shared" si="6"/>
        <v/>
      </c>
    </row>
    <row r="28" spans="1:12" x14ac:dyDescent="0.2">
      <c r="A28" s="24"/>
      <c r="B28" s="25"/>
      <c r="C28" s="26"/>
      <c r="D28" s="27"/>
      <c r="E28" s="28" t="str">
        <f t="shared" si="0"/>
        <v/>
      </c>
      <c r="F28" s="29" t="str">
        <f>IF(B28="","",B28-IFERROR(LOOKUP(2,1/(B$6:B27&lt;&gt;""),B$6:B27),76632))</f>
        <v/>
      </c>
      <c r="G28" s="30" t="str">
        <f t="shared" si="1"/>
        <v/>
      </c>
      <c r="H28" s="63" t="str">
        <f t="shared" si="7"/>
        <v/>
      </c>
      <c r="I28" s="31"/>
      <c r="J28" s="64" t="str">
        <f t="shared" si="4"/>
        <v/>
      </c>
      <c r="K28" s="64" t="str">
        <f t="shared" si="5"/>
        <v/>
      </c>
      <c r="L28" s="64" t="str">
        <f t="shared" si="6"/>
        <v/>
      </c>
    </row>
    <row r="29" spans="1:12" x14ac:dyDescent="0.2">
      <c r="A29" s="24"/>
      <c r="B29" s="25"/>
      <c r="C29" s="26"/>
      <c r="D29" s="27"/>
      <c r="E29" s="28" t="str">
        <f t="shared" si="0"/>
        <v/>
      </c>
      <c r="F29" s="29" t="str">
        <f>IF(B29="","",B29-IFERROR(LOOKUP(2,1/(B$6:B28&lt;&gt;""),B$6:B28),76632))</f>
        <v/>
      </c>
      <c r="G29" s="30" t="str">
        <f t="shared" si="1"/>
        <v/>
      </c>
      <c r="H29" s="63" t="str">
        <f t="shared" si="7"/>
        <v/>
      </c>
      <c r="I29" s="31"/>
      <c r="J29" s="64" t="str">
        <f t="shared" si="4"/>
        <v/>
      </c>
      <c r="K29" s="64" t="str">
        <f t="shared" si="5"/>
        <v/>
      </c>
      <c r="L29" s="64" t="str">
        <f t="shared" si="6"/>
        <v/>
      </c>
    </row>
    <row r="30" spans="1:12" x14ac:dyDescent="0.2">
      <c r="A30" s="24"/>
      <c r="B30" s="25"/>
      <c r="C30" s="26"/>
      <c r="D30" s="27"/>
      <c r="E30" s="28" t="str">
        <f t="shared" si="0"/>
        <v/>
      </c>
      <c r="F30" s="29" t="str">
        <f>IF(B30="","",B30-IFERROR(LOOKUP(2,1/(B$6:B29&lt;&gt;""),B$6:B29),76632))</f>
        <v/>
      </c>
      <c r="G30" s="30" t="str">
        <f t="shared" si="1"/>
        <v/>
      </c>
      <c r="H30" s="63" t="str">
        <f t="shared" si="7"/>
        <v/>
      </c>
      <c r="I30" s="31"/>
      <c r="J30" s="64" t="str">
        <f t="shared" si="4"/>
        <v/>
      </c>
      <c r="K30" s="64" t="str">
        <f t="shared" si="5"/>
        <v/>
      </c>
      <c r="L30" s="64" t="str">
        <f t="shared" si="6"/>
        <v/>
      </c>
    </row>
    <row r="31" spans="1:12" x14ac:dyDescent="0.2">
      <c r="A31" s="24"/>
      <c r="B31" s="25"/>
      <c r="C31" s="26"/>
      <c r="D31" s="27"/>
      <c r="E31" s="28" t="str">
        <f t="shared" si="0"/>
        <v/>
      </c>
      <c r="F31" s="29" t="str">
        <f>IF(B31="","",B31-IFERROR(LOOKUP(2,1/(B$6:B30&lt;&gt;""),B$6:B30),76632))</f>
        <v/>
      </c>
      <c r="G31" s="30" t="str">
        <f t="shared" si="1"/>
        <v/>
      </c>
      <c r="H31" s="63" t="str">
        <f t="shared" si="7"/>
        <v/>
      </c>
      <c r="I31" s="31"/>
      <c r="J31" s="64" t="str">
        <f t="shared" si="4"/>
        <v/>
      </c>
      <c r="K31" s="64" t="str">
        <f t="shared" si="5"/>
        <v/>
      </c>
      <c r="L31" s="64" t="str">
        <f t="shared" si="6"/>
        <v/>
      </c>
    </row>
    <row r="32" spans="1:12" x14ac:dyDescent="0.2">
      <c r="A32" s="24"/>
      <c r="B32" s="25"/>
      <c r="C32" s="26"/>
      <c r="D32" s="27"/>
      <c r="E32" s="28" t="str">
        <f t="shared" si="0"/>
        <v/>
      </c>
      <c r="F32" s="29" t="str">
        <f>IF(B32="","",B32-IFERROR(LOOKUP(2,1/(B$6:B31&lt;&gt;""),B$6:B31),76632))</f>
        <v/>
      </c>
      <c r="G32" s="30" t="str">
        <f t="shared" si="1"/>
        <v/>
      </c>
      <c r="H32" s="63" t="str">
        <f t="shared" si="7"/>
        <v/>
      </c>
      <c r="I32" s="31"/>
      <c r="J32" s="64" t="str">
        <f t="shared" si="4"/>
        <v/>
      </c>
      <c r="K32" s="64" t="str">
        <f t="shared" si="5"/>
        <v/>
      </c>
      <c r="L32" s="64" t="str">
        <f t="shared" si="6"/>
        <v/>
      </c>
    </row>
    <row r="33" spans="1:12" x14ac:dyDescent="0.2">
      <c r="A33" s="24"/>
      <c r="B33" s="25"/>
      <c r="C33" s="26"/>
      <c r="D33" s="27"/>
      <c r="E33" s="28" t="str">
        <f t="shared" si="0"/>
        <v/>
      </c>
      <c r="F33" s="29" t="str">
        <f>IF(B33="","",B33-IFERROR(LOOKUP(2,1/(B$6:B32&lt;&gt;""),B$6:B32),76632))</f>
        <v/>
      </c>
      <c r="G33" s="30" t="str">
        <f t="shared" si="1"/>
        <v/>
      </c>
      <c r="H33" s="63" t="str">
        <f t="shared" si="7"/>
        <v/>
      </c>
      <c r="I33" s="31"/>
      <c r="J33" s="64" t="str">
        <f t="shared" si="4"/>
        <v/>
      </c>
      <c r="K33" s="64" t="str">
        <f t="shared" si="5"/>
        <v/>
      </c>
      <c r="L33" s="64" t="str">
        <f t="shared" si="6"/>
        <v/>
      </c>
    </row>
    <row r="34" spans="1:12" x14ac:dyDescent="0.2">
      <c r="A34" s="24"/>
      <c r="B34" s="25"/>
      <c r="C34" s="26"/>
      <c r="D34" s="27"/>
      <c r="E34" s="28" t="str">
        <f t="shared" si="0"/>
        <v/>
      </c>
      <c r="F34" s="29" t="str">
        <f>IF(B34="","",B34-IFERROR(LOOKUP(2,1/(B$6:B33&lt;&gt;""),B$6:B33),76632))</f>
        <v/>
      </c>
      <c r="G34" s="30" t="str">
        <f t="shared" si="1"/>
        <v/>
      </c>
      <c r="H34" s="63" t="str">
        <f t="shared" si="7"/>
        <v/>
      </c>
      <c r="I34" s="31"/>
      <c r="J34" s="64" t="str">
        <f t="shared" si="4"/>
        <v/>
      </c>
      <c r="K34" s="64" t="str">
        <f t="shared" si="5"/>
        <v/>
      </c>
      <c r="L34" s="64" t="str">
        <f t="shared" si="6"/>
        <v/>
      </c>
    </row>
    <row r="35" spans="1:12" x14ac:dyDescent="0.2">
      <c r="A35" s="24"/>
      <c r="B35" s="25"/>
      <c r="C35" s="26"/>
      <c r="D35" s="27"/>
      <c r="E35" s="28" t="str">
        <f t="shared" si="0"/>
        <v/>
      </c>
      <c r="F35" s="29" t="str">
        <f>IF(B35="","",B35-IFERROR(LOOKUP(2,1/(B$6:B34&lt;&gt;""),B$6:B34),76632))</f>
        <v/>
      </c>
      <c r="G35" s="30" t="str">
        <f t="shared" si="1"/>
        <v/>
      </c>
      <c r="H35" s="63" t="str">
        <f t="shared" si="7"/>
        <v/>
      </c>
      <c r="I35" s="31"/>
      <c r="J35" s="64" t="str">
        <f t="shared" si="4"/>
        <v/>
      </c>
      <c r="K35" s="64" t="str">
        <f t="shared" si="5"/>
        <v/>
      </c>
      <c r="L35" s="64" t="str">
        <f t="shared" si="6"/>
        <v/>
      </c>
    </row>
    <row r="36" spans="1:12" x14ac:dyDescent="0.2">
      <c r="A36" s="24"/>
      <c r="B36" s="25"/>
      <c r="C36" s="26"/>
      <c r="D36" s="27"/>
      <c r="E36" s="28" t="str">
        <f t="shared" si="0"/>
        <v/>
      </c>
      <c r="F36" s="29" t="str">
        <f>IF(B36="","",B36-IFERROR(LOOKUP(2,1/(B$6:B35&lt;&gt;""),B$6:B35),76632))</f>
        <v/>
      </c>
      <c r="G36" s="30" t="str">
        <f t="shared" si="1"/>
        <v/>
      </c>
      <c r="H36" s="63" t="str">
        <f t="shared" si="7"/>
        <v/>
      </c>
      <c r="I36" s="31"/>
      <c r="J36" s="64" t="str">
        <f t="shared" si="4"/>
        <v/>
      </c>
      <c r="K36" s="64" t="str">
        <f t="shared" si="5"/>
        <v/>
      </c>
      <c r="L36" s="64" t="str">
        <f t="shared" si="6"/>
        <v/>
      </c>
    </row>
    <row r="37" spans="1:12" x14ac:dyDescent="0.2">
      <c r="A37" s="24"/>
      <c r="B37" s="25"/>
      <c r="C37" s="26"/>
      <c r="D37" s="27"/>
      <c r="E37" s="28" t="str">
        <f t="shared" si="0"/>
        <v/>
      </c>
      <c r="F37" s="29" t="str">
        <f>IF(B37="","",B37-IFERROR(LOOKUP(2,1/(B$6:B36&lt;&gt;""),B$6:B36),76632))</f>
        <v/>
      </c>
      <c r="G37" s="30" t="str">
        <f t="shared" si="1"/>
        <v/>
      </c>
      <c r="H37" s="63" t="str">
        <f t="shared" si="7"/>
        <v/>
      </c>
      <c r="I37" s="31"/>
      <c r="J37" s="64" t="str">
        <f t="shared" si="4"/>
        <v/>
      </c>
      <c r="K37" s="64" t="str">
        <f t="shared" si="5"/>
        <v/>
      </c>
      <c r="L37" s="64" t="str">
        <f t="shared" si="6"/>
        <v/>
      </c>
    </row>
    <row r="38" spans="1:12" x14ac:dyDescent="0.2">
      <c r="A38" s="24"/>
      <c r="B38" s="25"/>
      <c r="C38" s="26"/>
      <c r="D38" s="27"/>
      <c r="E38" s="28" t="str">
        <f t="shared" ref="E38:E69" si="8">IF(OR(C38="",D38=""),"",C38*D38)</f>
        <v/>
      </c>
      <c r="F38" s="29" t="str">
        <f>IF(B38="","",B38-IFERROR(LOOKUP(2,1/(B$6:B37&lt;&gt;""),B$6:B37),76632))</f>
        <v/>
      </c>
      <c r="G38" s="30" t="str">
        <f t="shared" ref="G38:G69" si="9">IF(OR(C38="",F38="",C38=0),"",F38*4.54609/C38)</f>
        <v/>
      </c>
      <c r="H38" s="63" t="str">
        <f t="shared" si="7"/>
        <v/>
      </c>
      <c r="I38" s="31"/>
      <c r="J38" s="64" t="str">
        <f t="shared" si="4"/>
        <v/>
      </c>
      <c r="K38" s="64" t="str">
        <f t="shared" si="5"/>
        <v/>
      </c>
      <c r="L38" s="64" t="str">
        <f t="shared" si="6"/>
        <v/>
      </c>
    </row>
    <row r="39" spans="1:12" x14ac:dyDescent="0.2">
      <c r="A39" s="24"/>
      <c r="B39" s="25"/>
      <c r="C39" s="26"/>
      <c r="D39" s="27"/>
      <c r="E39" s="28" t="str">
        <f t="shared" si="8"/>
        <v/>
      </c>
      <c r="F39" s="29" t="str">
        <f>IF(B39="","",B39-IFERROR(LOOKUP(2,1/(B$6:B38&lt;&gt;""),B$6:B38),76632))</f>
        <v/>
      </c>
      <c r="G39" s="30" t="str">
        <f t="shared" si="9"/>
        <v/>
      </c>
      <c r="H39" s="63" t="str">
        <f t="shared" si="7"/>
        <v/>
      </c>
      <c r="I39" s="31"/>
      <c r="J39" s="64" t="str">
        <f t="shared" si="4"/>
        <v/>
      </c>
      <c r="K39" s="64" t="str">
        <f t="shared" si="5"/>
        <v/>
      </c>
      <c r="L39" s="64" t="str">
        <f t="shared" si="6"/>
        <v/>
      </c>
    </row>
    <row r="40" spans="1:12" x14ac:dyDescent="0.2">
      <c r="A40" s="24"/>
      <c r="B40" s="25"/>
      <c r="C40" s="26"/>
      <c r="D40" s="27"/>
      <c r="E40" s="28" t="str">
        <f t="shared" si="8"/>
        <v/>
      </c>
      <c r="F40" s="29" t="str">
        <f>IF(B40="","",B40-IFERROR(LOOKUP(2,1/(B$6:B39&lt;&gt;""),B$6:B39),76632))</f>
        <v/>
      </c>
      <c r="G40" s="30" t="str">
        <f t="shared" si="9"/>
        <v/>
      </c>
      <c r="H40" s="63" t="str">
        <f t="shared" si="7"/>
        <v/>
      </c>
      <c r="I40" s="31"/>
      <c r="J40" s="64" t="str">
        <f t="shared" si="4"/>
        <v/>
      </c>
      <c r="K40" s="64" t="str">
        <f t="shared" si="5"/>
        <v/>
      </c>
      <c r="L40" s="64" t="str">
        <f t="shared" si="6"/>
        <v/>
      </c>
    </row>
    <row r="41" spans="1:12" x14ac:dyDescent="0.2">
      <c r="A41" s="24"/>
      <c r="B41" s="25"/>
      <c r="C41" s="26"/>
      <c r="D41" s="27"/>
      <c r="E41" s="28" t="str">
        <f t="shared" si="8"/>
        <v/>
      </c>
      <c r="F41" s="29" t="str">
        <f>IF(B41="","",B41-IFERROR(LOOKUP(2,1/(B$6:B40&lt;&gt;""),B$6:B40),76632))</f>
        <v/>
      </c>
      <c r="G41" s="30" t="str">
        <f t="shared" si="9"/>
        <v/>
      </c>
      <c r="H41" s="63" t="str">
        <f t="shared" si="7"/>
        <v/>
      </c>
      <c r="I41" s="31"/>
      <c r="J41" s="64" t="str">
        <f t="shared" si="4"/>
        <v/>
      </c>
      <c r="K41" s="64" t="str">
        <f t="shared" si="5"/>
        <v/>
      </c>
      <c r="L41" s="64" t="str">
        <f t="shared" si="6"/>
        <v/>
      </c>
    </row>
    <row r="42" spans="1:12" x14ac:dyDescent="0.2">
      <c r="A42" s="24"/>
      <c r="B42" s="25"/>
      <c r="C42" s="26"/>
      <c r="D42" s="27"/>
      <c r="E42" s="28" t="str">
        <f t="shared" si="8"/>
        <v/>
      </c>
      <c r="F42" s="29" t="str">
        <f>IF(B42="","",B42-IFERROR(LOOKUP(2,1/(B$6:B41&lt;&gt;""),B$6:B41),76632))</f>
        <v/>
      </c>
      <c r="G42" s="30" t="str">
        <f t="shared" si="9"/>
        <v/>
      </c>
      <c r="H42" s="63" t="str">
        <f t="shared" si="7"/>
        <v/>
      </c>
      <c r="I42" s="31"/>
      <c r="J42" s="64" t="str">
        <f t="shared" si="4"/>
        <v/>
      </c>
      <c r="K42" s="64" t="str">
        <f t="shared" si="5"/>
        <v/>
      </c>
      <c r="L42" s="64" t="str">
        <f t="shared" si="6"/>
        <v/>
      </c>
    </row>
    <row r="43" spans="1:12" x14ac:dyDescent="0.2">
      <c r="A43" s="24"/>
      <c r="B43" s="25"/>
      <c r="C43" s="26"/>
      <c r="D43" s="27"/>
      <c r="E43" s="28" t="str">
        <f t="shared" si="8"/>
        <v/>
      </c>
      <c r="F43" s="29" t="str">
        <f>IF(B43="","",B43-IFERROR(LOOKUP(2,1/(B$6:B42&lt;&gt;""),B$6:B42),76632))</f>
        <v/>
      </c>
      <c r="G43" s="30" t="str">
        <f t="shared" si="9"/>
        <v/>
      </c>
      <c r="H43" s="63" t="str">
        <f t="shared" si="7"/>
        <v/>
      </c>
      <c r="I43" s="31"/>
      <c r="J43" s="64" t="str">
        <f t="shared" si="4"/>
        <v/>
      </c>
      <c r="K43" s="64" t="str">
        <f t="shared" si="5"/>
        <v/>
      </c>
      <c r="L43" s="64" t="str">
        <f t="shared" si="6"/>
        <v/>
      </c>
    </row>
    <row r="44" spans="1:12" x14ac:dyDescent="0.2">
      <c r="A44" s="24"/>
      <c r="B44" s="25"/>
      <c r="C44" s="26"/>
      <c r="D44" s="27"/>
      <c r="E44" s="28" t="str">
        <f t="shared" si="8"/>
        <v/>
      </c>
      <c r="F44" s="29" t="str">
        <f>IF(B44="","",B44-IFERROR(LOOKUP(2,1/(B$6:B43&lt;&gt;""),B$6:B43),76632))</f>
        <v/>
      </c>
      <c r="G44" s="30" t="str">
        <f t="shared" si="9"/>
        <v/>
      </c>
      <c r="H44" s="63" t="str">
        <f t="shared" si="7"/>
        <v/>
      </c>
      <c r="I44" s="31"/>
      <c r="J44" s="64" t="str">
        <f t="shared" si="4"/>
        <v/>
      </c>
      <c r="K44" s="64" t="str">
        <f t="shared" si="5"/>
        <v/>
      </c>
      <c r="L44" s="64" t="str">
        <f t="shared" si="6"/>
        <v/>
      </c>
    </row>
    <row r="45" spans="1:12" x14ac:dyDescent="0.2">
      <c r="A45" s="24"/>
      <c r="B45" s="25"/>
      <c r="C45" s="26"/>
      <c r="D45" s="27"/>
      <c r="E45" s="28" t="str">
        <f t="shared" si="8"/>
        <v/>
      </c>
      <c r="F45" s="29" t="str">
        <f>IF(B45="","",B45-IFERROR(LOOKUP(2,1/(B$6:B44&lt;&gt;""),B$6:B44),76632))</f>
        <v/>
      </c>
      <c r="G45" s="30" t="str">
        <f t="shared" si="9"/>
        <v/>
      </c>
      <c r="H45" s="63" t="str">
        <f t="shared" si="7"/>
        <v/>
      </c>
      <c r="I45" s="31"/>
      <c r="J45" s="64" t="str">
        <f t="shared" si="4"/>
        <v/>
      </c>
      <c r="K45" s="64" t="str">
        <f t="shared" si="5"/>
        <v/>
      </c>
      <c r="L45" s="64" t="str">
        <f t="shared" si="6"/>
        <v/>
      </c>
    </row>
    <row r="46" spans="1:12" x14ac:dyDescent="0.2">
      <c r="A46" s="24"/>
      <c r="B46" s="25"/>
      <c r="C46" s="26"/>
      <c r="D46" s="27"/>
      <c r="E46" s="28" t="str">
        <f t="shared" si="8"/>
        <v/>
      </c>
      <c r="F46" s="29" t="str">
        <f>IF(B46="","",B46-IFERROR(LOOKUP(2,1/(B$6:B45&lt;&gt;""),B$6:B45),76632))</f>
        <v/>
      </c>
      <c r="G46" s="30" t="str">
        <f t="shared" si="9"/>
        <v/>
      </c>
      <c r="H46" s="63" t="str">
        <f t="shared" si="7"/>
        <v/>
      </c>
      <c r="I46" s="31"/>
      <c r="J46" s="64" t="str">
        <f t="shared" si="4"/>
        <v/>
      </c>
      <c r="K46" s="64" t="str">
        <f t="shared" si="5"/>
        <v/>
      </c>
      <c r="L46" s="64" t="str">
        <f t="shared" si="6"/>
        <v/>
      </c>
    </row>
    <row r="47" spans="1:12" x14ac:dyDescent="0.2">
      <c r="A47" s="24"/>
      <c r="B47" s="25"/>
      <c r="C47" s="26"/>
      <c r="D47" s="27"/>
      <c r="E47" s="28" t="str">
        <f t="shared" si="8"/>
        <v/>
      </c>
      <c r="F47" s="29" t="str">
        <f>IF(B47="","",B47-IFERROR(LOOKUP(2,1/(B$6:B46&lt;&gt;""),B$6:B46),76632))</f>
        <v/>
      </c>
      <c r="G47" s="30" t="str">
        <f t="shared" si="9"/>
        <v/>
      </c>
      <c r="H47" s="63" t="str">
        <f t="shared" si="7"/>
        <v/>
      </c>
      <c r="I47" s="31"/>
      <c r="J47" s="64" t="str">
        <f t="shared" si="4"/>
        <v/>
      </c>
      <c r="K47" s="64" t="str">
        <f t="shared" si="5"/>
        <v/>
      </c>
      <c r="L47" s="64" t="str">
        <f t="shared" si="6"/>
        <v/>
      </c>
    </row>
    <row r="48" spans="1:12" x14ac:dyDescent="0.2">
      <c r="A48" s="24"/>
      <c r="B48" s="25"/>
      <c r="C48" s="26"/>
      <c r="D48" s="27"/>
      <c r="E48" s="28" t="str">
        <f t="shared" si="8"/>
        <v/>
      </c>
      <c r="F48" s="29" t="str">
        <f>IF(B48="","",B48-IFERROR(LOOKUP(2,1/(B$6:B47&lt;&gt;""),B$6:B47),76632))</f>
        <v/>
      </c>
      <c r="G48" s="30" t="str">
        <f t="shared" si="9"/>
        <v/>
      </c>
      <c r="H48" s="63" t="str">
        <f t="shared" si="7"/>
        <v/>
      </c>
      <c r="I48" s="31"/>
      <c r="J48" s="64" t="str">
        <f t="shared" si="4"/>
        <v/>
      </c>
      <c r="K48" s="64" t="str">
        <f t="shared" si="5"/>
        <v/>
      </c>
      <c r="L48" s="64" t="str">
        <f t="shared" si="6"/>
        <v/>
      </c>
    </row>
    <row r="49" spans="1:12" x14ac:dyDescent="0.2">
      <c r="A49" s="24"/>
      <c r="B49" s="25"/>
      <c r="C49" s="26"/>
      <c r="D49" s="27"/>
      <c r="E49" s="28" t="str">
        <f t="shared" si="8"/>
        <v/>
      </c>
      <c r="F49" s="29" t="str">
        <f>IF(B49="","",B49-IFERROR(LOOKUP(2,1/(B$6:B48&lt;&gt;""),B$6:B48),76632))</f>
        <v/>
      </c>
      <c r="G49" s="30" t="str">
        <f t="shared" si="9"/>
        <v/>
      </c>
      <c r="H49" s="63" t="str">
        <f t="shared" si="7"/>
        <v/>
      </c>
      <c r="I49" s="31"/>
      <c r="J49" s="64" t="str">
        <f t="shared" si="4"/>
        <v/>
      </c>
      <c r="K49" s="64" t="str">
        <f t="shared" si="5"/>
        <v/>
      </c>
      <c r="L49" s="64" t="str">
        <f t="shared" si="6"/>
        <v/>
      </c>
    </row>
    <row r="50" spans="1:12" x14ac:dyDescent="0.2">
      <c r="A50" s="24"/>
      <c r="B50" s="25"/>
      <c r="C50" s="26"/>
      <c r="D50" s="27"/>
      <c r="E50" s="28" t="str">
        <f t="shared" si="8"/>
        <v/>
      </c>
      <c r="F50" s="29" t="str">
        <f>IF(B50="","",B50-IFERROR(LOOKUP(2,1/(B$6:B49&lt;&gt;""),B$6:B49),76632))</f>
        <v/>
      </c>
      <c r="G50" s="30" t="str">
        <f t="shared" si="9"/>
        <v/>
      </c>
      <c r="H50" s="63" t="str">
        <f t="shared" si="7"/>
        <v/>
      </c>
      <c r="I50" s="31"/>
      <c r="J50" s="64" t="str">
        <f t="shared" si="4"/>
        <v/>
      </c>
      <c r="K50" s="64" t="str">
        <f t="shared" si="5"/>
        <v/>
      </c>
      <c r="L50" s="64" t="str">
        <f t="shared" si="6"/>
        <v/>
      </c>
    </row>
    <row r="51" spans="1:12" x14ac:dyDescent="0.2">
      <c r="A51" s="24"/>
      <c r="B51" s="25"/>
      <c r="C51" s="26"/>
      <c r="D51" s="27"/>
      <c r="E51" s="28" t="str">
        <f t="shared" si="8"/>
        <v/>
      </c>
      <c r="F51" s="29" t="str">
        <f>IF(B51="","",B51-IFERROR(LOOKUP(2,1/(B$6:B50&lt;&gt;""),B$6:B50),76632))</f>
        <v/>
      </c>
      <c r="G51" s="30" t="str">
        <f t="shared" si="9"/>
        <v/>
      </c>
      <c r="H51" s="63" t="str">
        <f t="shared" si="7"/>
        <v/>
      </c>
      <c r="I51" s="31"/>
      <c r="J51" s="64" t="str">
        <f t="shared" si="4"/>
        <v/>
      </c>
      <c r="K51" s="64" t="str">
        <f t="shared" si="5"/>
        <v/>
      </c>
      <c r="L51" s="64" t="str">
        <f t="shared" si="6"/>
        <v/>
      </c>
    </row>
    <row r="52" spans="1:12" x14ac:dyDescent="0.2">
      <c r="A52" s="24"/>
      <c r="B52" s="25"/>
      <c r="C52" s="26"/>
      <c r="D52" s="27"/>
      <c r="E52" s="28" t="str">
        <f t="shared" si="8"/>
        <v/>
      </c>
      <c r="F52" s="29" t="str">
        <f>IF(B52="","",B52-IFERROR(LOOKUP(2,1/(B$6:B51&lt;&gt;""),B$6:B51),76632))</f>
        <v/>
      </c>
      <c r="G52" s="30" t="str">
        <f t="shared" si="9"/>
        <v/>
      </c>
      <c r="H52" s="63" t="str">
        <f t="shared" si="7"/>
        <v/>
      </c>
      <c r="I52" s="31"/>
      <c r="J52" s="64" t="str">
        <f t="shared" si="4"/>
        <v/>
      </c>
      <c r="K52" s="64" t="str">
        <f t="shared" si="5"/>
        <v/>
      </c>
      <c r="L52" s="64" t="str">
        <f t="shared" si="6"/>
        <v/>
      </c>
    </row>
    <row r="53" spans="1:12" x14ac:dyDescent="0.2">
      <c r="A53" s="24"/>
      <c r="B53" s="25"/>
      <c r="C53" s="26"/>
      <c r="D53" s="27"/>
      <c r="E53" s="28" t="str">
        <f t="shared" si="8"/>
        <v/>
      </c>
      <c r="F53" s="29" t="str">
        <f>IF(B53="","",B53-IFERROR(LOOKUP(2,1/(B$6:B52&lt;&gt;""),B$6:B52),76632))</f>
        <v/>
      </c>
      <c r="G53" s="30" t="str">
        <f t="shared" si="9"/>
        <v/>
      </c>
      <c r="H53" s="63" t="str">
        <f t="shared" si="7"/>
        <v/>
      </c>
      <c r="I53" s="31"/>
      <c r="J53" s="64" t="str">
        <f t="shared" si="4"/>
        <v/>
      </c>
      <c r="K53" s="64" t="str">
        <f t="shared" si="5"/>
        <v/>
      </c>
      <c r="L53" s="64" t="str">
        <f t="shared" si="6"/>
        <v/>
      </c>
    </row>
    <row r="54" spans="1:12" x14ac:dyDescent="0.2">
      <c r="A54" s="24"/>
      <c r="B54" s="25"/>
      <c r="C54" s="26"/>
      <c r="D54" s="27"/>
      <c r="E54" s="28" t="str">
        <f t="shared" si="8"/>
        <v/>
      </c>
      <c r="F54" s="29" t="str">
        <f>IF(B54="","",B54-IFERROR(LOOKUP(2,1/(B$6:B53&lt;&gt;""),B$6:B53),76632))</f>
        <v/>
      </c>
      <c r="G54" s="30" t="str">
        <f t="shared" si="9"/>
        <v/>
      </c>
      <c r="H54" s="63" t="str">
        <f t="shared" si="7"/>
        <v/>
      </c>
      <c r="I54" s="31"/>
      <c r="J54" s="64" t="str">
        <f t="shared" si="4"/>
        <v/>
      </c>
      <c r="K54" s="64" t="str">
        <f t="shared" si="5"/>
        <v/>
      </c>
      <c r="L54" s="64" t="str">
        <f t="shared" si="6"/>
        <v/>
      </c>
    </row>
    <row r="55" spans="1:12" x14ac:dyDescent="0.2">
      <c r="A55" s="24"/>
      <c r="B55" s="25"/>
      <c r="C55" s="26"/>
      <c r="D55" s="27"/>
      <c r="E55" s="28" t="str">
        <f t="shared" si="8"/>
        <v/>
      </c>
      <c r="F55" s="29" t="str">
        <f>IF(B55="","",B55-IFERROR(LOOKUP(2,1/(B$6:B54&lt;&gt;""),B$6:B54),76632))</f>
        <v/>
      </c>
      <c r="G55" s="30" t="str">
        <f t="shared" si="9"/>
        <v/>
      </c>
      <c r="H55" s="63" t="str">
        <f t="shared" si="7"/>
        <v/>
      </c>
      <c r="I55" s="31"/>
      <c r="J55" s="64" t="str">
        <f t="shared" si="4"/>
        <v/>
      </c>
      <c r="K55" s="64" t="str">
        <f t="shared" si="5"/>
        <v/>
      </c>
      <c r="L55" s="64" t="str">
        <f t="shared" si="6"/>
        <v/>
      </c>
    </row>
    <row r="56" spans="1:12" x14ac:dyDescent="0.2">
      <c r="A56" s="24"/>
      <c r="B56" s="25"/>
      <c r="C56" s="26"/>
      <c r="D56" s="27"/>
      <c r="E56" s="28" t="str">
        <f t="shared" si="8"/>
        <v/>
      </c>
      <c r="F56" s="29" t="str">
        <f>IF(B56="","",B56-IFERROR(LOOKUP(2,1/(B$6:B55&lt;&gt;""),B$6:B55),76632))</f>
        <v/>
      </c>
      <c r="G56" s="30" t="str">
        <f t="shared" si="9"/>
        <v/>
      </c>
      <c r="H56" s="63" t="str">
        <f t="shared" si="7"/>
        <v/>
      </c>
      <c r="I56" s="31"/>
      <c r="J56" s="64" t="str">
        <f t="shared" si="4"/>
        <v/>
      </c>
      <c r="K56" s="64" t="str">
        <f t="shared" si="5"/>
        <v/>
      </c>
      <c r="L56" s="64" t="str">
        <f t="shared" si="6"/>
        <v/>
      </c>
    </row>
    <row r="57" spans="1:12" x14ac:dyDescent="0.2">
      <c r="A57" s="24"/>
      <c r="B57" s="25"/>
      <c r="C57" s="26"/>
      <c r="D57" s="27"/>
      <c r="E57" s="28" t="str">
        <f t="shared" si="8"/>
        <v/>
      </c>
      <c r="F57" s="29" t="str">
        <f>IF(B57="","",B57-IFERROR(LOOKUP(2,1/(B$6:B56&lt;&gt;""),B$6:B56),76632))</f>
        <v/>
      </c>
      <c r="G57" s="30" t="str">
        <f t="shared" si="9"/>
        <v/>
      </c>
      <c r="H57" s="63" t="str">
        <f t="shared" si="7"/>
        <v/>
      </c>
      <c r="I57" s="31"/>
      <c r="J57" s="64" t="str">
        <f t="shared" si="4"/>
        <v/>
      </c>
      <c r="K57" s="64" t="str">
        <f t="shared" si="5"/>
        <v/>
      </c>
      <c r="L57" s="64" t="str">
        <f t="shared" si="6"/>
        <v/>
      </c>
    </row>
    <row r="58" spans="1:12" x14ac:dyDescent="0.2">
      <c r="A58" s="24"/>
      <c r="B58" s="25"/>
      <c r="C58" s="26"/>
      <c r="D58" s="27"/>
      <c r="E58" s="28" t="str">
        <f t="shared" si="8"/>
        <v/>
      </c>
      <c r="F58" s="29" t="str">
        <f>IF(B58="","",B58-IFERROR(LOOKUP(2,1/(B$6:B57&lt;&gt;""),B$6:B57),76632))</f>
        <v/>
      </c>
      <c r="G58" s="30" t="str">
        <f t="shared" si="9"/>
        <v/>
      </c>
      <c r="H58" s="63" t="str">
        <f t="shared" si="7"/>
        <v/>
      </c>
      <c r="I58" s="31"/>
      <c r="J58" s="64" t="str">
        <f t="shared" si="4"/>
        <v/>
      </c>
      <c r="K58" s="64" t="str">
        <f t="shared" si="5"/>
        <v/>
      </c>
      <c r="L58" s="64" t="str">
        <f t="shared" si="6"/>
        <v/>
      </c>
    </row>
    <row r="59" spans="1:12" x14ac:dyDescent="0.2">
      <c r="A59" s="24"/>
      <c r="B59" s="25"/>
      <c r="C59" s="26"/>
      <c r="D59" s="27"/>
      <c r="E59" s="28" t="str">
        <f t="shared" si="8"/>
        <v/>
      </c>
      <c r="F59" s="29" t="str">
        <f>IF(B59="","",B59-IFERROR(LOOKUP(2,1/(B$6:B58&lt;&gt;""),B$6:B58),76632))</f>
        <v/>
      </c>
      <c r="G59" s="30" t="str">
        <f t="shared" si="9"/>
        <v/>
      </c>
      <c r="H59" s="63" t="str">
        <f t="shared" si="7"/>
        <v/>
      </c>
      <c r="I59" s="31"/>
      <c r="J59" s="64" t="str">
        <f t="shared" si="4"/>
        <v/>
      </c>
      <c r="K59" s="64" t="str">
        <f t="shared" si="5"/>
        <v/>
      </c>
      <c r="L59" s="64" t="str">
        <f t="shared" si="6"/>
        <v/>
      </c>
    </row>
    <row r="60" spans="1:12" x14ac:dyDescent="0.2">
      <c r="A60" s="24"/>
      <c r="B60" s="25"/>
      <c r="C60" s="26"/>
      <c r="D60" s="27"/>
      <c r="E60" s="28" t="str">
        <f t="shared" si="8"/>
        <v/>
      </c>
      <c r="F60" s="29" t="str">
        <f>IF(B60="","",B60-IFERROR(LOOKUP(2,1/(B$6:B59&lt;&gt;""),B$6:B59),76632))</f>
        <v/>
      </c>
      <c r="G60" s="30" t="str">
        <f t="shared" si="9"/>
        <v/>
      </c>
      <c r="H60" s="63" t="str">
        <f t="shared" si="7"/>
        <v/>
      </c>
      <c r="I60" s="31"/>
      <c r="J60" s="64" t="str">
        <f t="shared" si="4"/>
        <v/>
      </c>
      <c r="K60" s="64" t="str">
        <f t="shared" si="5"/>
        <v/>
      </c>
      <c r="L60" s="64" t="str">
        <f t="shared" si="6"/>
        <v/>
      </c>
    </row>
    <row r="61" spans="1:12" x14ac:dyDescent="0.2">
      <c r="A61" s="24"/>
      <c r="B61" s="25"/>
      <c r="C61" s="26"/>
      <c r="D61" s="27"/>
      <c r="E61" s="28" t="str">
        <f t="shared" si="8"/>
        <v/>
      </c>
      <c r="F61" s="29" t="str">
        <f>IF(B61="","",B61-IFERROR(LOOKUP(2,1/(B$6:B60&lt;&gt;""),B$6:B60),76632))</f>
        <v/>
      </c>
      <c r="G61" s="30" t="str">
        <f t="shared" si="9"/>
        <v/>
      </c>
      <c r="H61" s="63" t="str">
        <f t="shared" si="7"/>
        <v/>
      </c>
      <c r="I61" s="31"/>
      <c r="J61" s="64" t="str">
        <f t="shared" si="4"/>
        <v/>
      </c>
      <c r="K61" s="64" t="str">
        <f t="shared" si="5"/>
        <v/>
      </c>
      <c r="L61" s="64" t="str">
        <f t="shared" si="6"/>
        <v/>
      </c>
    </row>
    <row r="62" spans="1:12" x14ac:dyDescent="0.2">
      <c r="A62" s="24"/>
      <c r="B62" s="25"/>
      <c r="C62" s="26"/>
      <c r="D62" s="27"/>
      <c r="E62" s="28" t="str">
        <f t="shared" si="8"/>
        <v/>
      </c>
      <c r="F62" s="29" t="str">
        <f>IF(B62="","",B62-IFERROR(LOOKUP(2,1/(B$6:B61&lt;&gt;""),B$6:B61),76632))</f>
        <v/>
      </c>
      <c r="G62" s="30" t="str">
        <f t="shared" si="9"/>
        <v/>
      </c>
      <c r="H62" s="63" t="str">
        <f t="shared" si="7"/>
        <v/>
      </c>
      <c r="I62" s="31"/>
      <c r="J62" s="64" t="str">
        <f t="shared" si="4"/>
        <v/>
      </c>
      <c r="K62" s="64" t="str">
        <f t="shared" si="5"/>
        <v/>
      </c>
      <c r="L62" s="64" t="str">
        <f t="shared" si="6"/>
        <v/>
      </c>
    </row>
    <row r="63" spans="1:12" x14ac:dyDescent="0.2">
      <c r="A63" s="24"/>
      <c r="B63" s="25"/>
      <c r="C63" s="26"/>
      <c r="D63" s="27"/>
      <c r="E63" s="28" t="str">
        <f t="shared" si="8"/>
        <v/>
      </c>
      <c r="F63" s="29" t="str">
        <f>IF(B63="","",B63-IFERROR(LOOKUP(2,1/(B$6:B62&lt;&gt;""),B$6:B62),76632))</f>
        <v/>
      </c>
      <c r="G63" s="30" t="str">
        <f t="shared" si="9"/>
        <v/>
      </c>
      <c r="H63" s="63" t="str">
        <f t="shared" si="7"/>
        <v/>
      </c>
      <c r="I63" s="31"/>
      <c r="J63" s="64" t="str">
        <f t="shared" si="4"/>
        <v/>
      </c>
      <c r="K63" s="64" t="str">
        <f t="shared" si="5"/>
        <v/>
      </c>
      <c r="L63" s="64" t="str">
        <f t="shared" si="6"/>
        <v/>
      </c>
    </row>
    <row r="64" spans="1:12" x14ac:dyDescent="0.2">
      <c r="A64" s="24"/>
      <c r="B64" s="25"/>
      <c r="C64" s="26"/>
      <c r="D64" s="27"/>
      <c r="E64" s="28" t="str">
        <f t="shared" si="8"/>
        <v/>
      </c>
      <c r="F64" s="29" t="str">
        <f>IF(B64="","",B64-IFERROR(LOOKUP(2,1/(B$6:B63&lt;&gt;""),B$6:B63),76632))</f>
        <v/>
      </c>
      <c r="G64" s="30" t="str">
        <f t="shared" si="9"/>
        <v/>
      </c>
      <c r="H64" s="63" t="str">
        <f t="shared" si="7"/>
        <v/>
      </c>
      <c r="I64" s="31"/>
      <c r="J64" s="64" t="str">
        <f t="shared" si="4"/>
        <v/>
      </c>
      <c r="K64" s="64" t="str">
        <f t="shared" si="5"/>
        <v/>
      </c>
      <c r="L64" s="64" t="str">
        <f t="shared" si="6"/>
        <v/>
      </c>
    </row>
    <row r="65" spans="1:12" x14ac:dyDescent="0.2">
      <c r="A65" s="24"/>
      <c r="B65" s="25"/>
      <c r="C65" s="26"/>
      <c r="D65" s="27"/>
      <c r="E65" s="28" t="str">
        <f t="shared" si="8"/>
        <v/>
      </c>
      <c r="F65" s="29" t="str">
        <f>IF(B65="","",B65-IFERROR(LOOKUP(2,1/(B$6:B64&lt;&gt;""),B$6:B64),76632))</f>
        <v/>
      </c>
      <c r="G65" s="30" t="str">
        <f t="shared" si="9"/>
        <v/>
      </c>
      <c r="H65" s="63" t="str">
        <f t="shared" si="7"/>
        <v/>
      </c>
      <c r="I65" s="31"/>
      <c r="J65" s="64" t="str">
        <f t="shared" si="4"/>
        <v/>
      </c>
      <c r="K65" s="64" t="str">
        <f t="shared" si="5"/>
        <v/>
      </c>
      <c r="L65" s="64" t="str">
        <f t="shared" si="6"/>
        <v/>
      </c>
    </row>
    <row r="66" spans="1:12" x14ac:dyDescent="0.2">
      <c r="A66" s="24"/>
      <c r="B66" s="25"/>
      <c r="C66" s="26"/>
      <c r="D66" s="27"/>
      <c r="E66" s="28" t="str">
        <f t="shared" si="8"/>
        <v/>
      </c>
      <c r="F66" s="29" t="str">
        <f>IF(B66="","",B66-IFERROR(LOOKUP(2,1/(B$6:B65&lt;&gt;""),B$6:B65),76632))</f>
        <v/>
      </c>
      <c r="G66" s="30" t="str">
        <f t="shared" si="9"/>
        <v/>
      </c>
      <c r="H66" s="63" t="str">
        <f t="shared" si="7"/>
        <v/>
      </c>
      <c r="I66" s="31"/>
      <c r="J66" s="64" t="str">
        <f t="shared" si="4"/>
        <v/>
      </c>
      <c r="K66" s="64" t="str">
        <f t="shared" si="5"/>
        <v/>
      </c>
      <c r="L66" s="64" t="str">
        <f t="shared" si="6"/>
        <v/>
      </c>
    </row>
    <row r="67" spans="1:12" x14ac:dyDescent="0.2">
      <c r="A67" s="24"/>
      <c r="B67" s="25"/>
      <c r="C67" s="26"/>
      <c r="D67" s="27"/>
      <c r="E67" s="28" t="str">
        <f t="shared" si="8"/>
        <v/>
      </c>
      <c r="F67" s="29" t="str">
        <f>IF(B67="","",B67-IFERROR(LOOKUP(2,1/(B$6:B66&lt;&gt;""),B$6:B66),76632))</f>
        <v/>
      </c>
      <c r="G67" s="30" t="str">
        <f t="shared" si="9"/>
        <v/>
      </c>
      <c r="H67" s="63" t="str">
        <f t="shared" si="7"/>
        <v/>
      </c>
      <c r="I67" s="31"/>
      <c r="J67" s="64" t="str">
        <f t="shared" si="4"/>
        <v/>
      </c>
      <c r="K67" s="64" t="str">
        <f t="shared" si="5"/>
        <v/>
      </c>
      <c r="L67" s="64" t="str">
        <f t="shared" si="6"/>
        <v/>
      </c>
    </row>
    <row r="68" spans="1:12" x14ac:dyDescent="0.2">
      <c r="A68" s="24"/>
      <c r="B68" s="25"/>
      <c r="C68" s="26"/>
      <c r="D68" s="27"/>
      <c r="E68" s="28" t="str">
        <f t="shared" si="8"/>
        <v/>
      </c>
      <c r="F68" s="29" t="str">
        <f>IF(B68="","",B68-IFERROR(LOOKUP(2,1/(B$6:B67&lt;&gt;""),B$6:B67),76632))</f>
        <v/>
      </c>
      <c r="G68" s="30" t="str">
        <f t="shared" si="9"/>
        <v/>
      </c>
      <c r="H68" s="63" t="str">
        <f t="shared" si="7"/>
        <v/>
      </c>
      <c r="I68" s="31"/>
      <c r="J68" s="64" t="str">
        <f t="shared" si="4"/>
        <v/>
      </c>
      <c r="K68" s="64" t="str">
        <f t="shared" si="5"/>
        <v/>
      </c>
      <c r="L68" s="64" t="str">
        <f t="shared" si="6"/>
        <v/>
      </c>
    </row>
    <row r="69" spans="1:12" x14ac:dyDescent="0.2">
      <c r="A69" s="24"/>
      <c r="B69" s="25"/>
      <c r="C69" s="26"/>
      <c r="D69" s="27"/>
      <c r="E69" s="28" t="str">
        <f t="shared" si="8"/>
        <v/>
      </c>
      <c r="F69" s="29" t="str">
        <f>IF(B69="","",B69-IFERROR(LOOKUP(2,1/(B$6:B68&lt;&gt;""),B$6:B68),76632))</f>
        <v/>
      </c>
      <c r="G69" s="30" t="str">
        <f t="shared" si="9"/>
        <v/>
      </c>
      <c r="H69" s="63" t="str">
        <f t="shared" si="7"/>
        <v/>
      </c>
      <c r="I69" s="31"/>
      <c r="J69" s="64" t="str">
        <f t="shared" si="4"/>
        <v/>
      </c>
      <c r="K69" s="64" t="str">
        <f t="shared" si="5"/>
        <v/>
      </c>
      <c r="L69" s="64" t="str">
        <f t="shared" si="6"/>
        <v/>
      </c>
    </row>
    <row r="70" spans="1:12" x14ac:dyDescent="0.2">
      <c r="A70" s="24"/>
      <c r="B70" s="25"/>
      <c r="C70" s="26"/>
      <c r="D70" s="27"/>
      <c r="E70" s="28" t="str">
        <f t="shared" ref="E70:E101" si="10">IF(OR(C70="",D70=""),"",C70*D70)</f>
        <v/>
      </c>
      <c r="F70" s="29" t="str">
        <f>IF(B70="","",B70-IFERROR(LOOKUP(2,1/(B$6:B69&lt;&gt;""),B$6:B69),76632))</f>
        <v/>
      </c>
      <c r="G70" s="30" t="str">
        <f t="shared" ref="G70:G101" si="11">IF(OR(C70="",F70="",C70=0),"",F70*4.54609/C70)</f>
        <v/>
      </c>
      <c r="H70" s="63" t="str">
        <f t="shared" si="7"/>
        <v/>
      </c>
      <c r="I70" s="31"/>
      <c r="J70" s="64" t="str">
        <f t="shared" si="4"/>
        <v/>
      </c>
      <c r="K70" s="64" t="str">
        <f t="shared" si="5"/>
        <v/>
      </c>
      <c r="L70" s="64" t="str">
        <f t="shared" si="6"/>
        <v/>
      </c>
    </row>
    <row r="71" spans="1:12" x14ac:dyDescent="0.2">
      <c r="A71" s="24"/>
      <c r="B71" s="25"/>
      <c r="C71" s="26"/>
      <c r="D71" s="27"/>
      <c r="E71" s="28" t="str">
        <f t="shared" si="10"/>
        <v/>
      </c>
      <c r="F71" s="29" t="str">
        <f>IF(B71="","",B71-IFERROR(LOOKUP(2,1/(B$6:B70&lt;&gt;""),B$6:B70),76632))</f>
        <v/>
      </c>
      <c r="G71" s="30" t="str">
        <f t="shared" si="11"/>
        <v/>
      </c>
      <c r="H71" s="63" t="str">
        <f t="shared" si="7"/>
        <v/>
      </c>
      <c r="I71" s="31"/>
      <c r="J71" s="64" t="str">
        <f t="shared" ref="J71:J134" si="12">IF(G71="","",ROUND(G71*(61/4.54609),0))</f>
        <v/>
      </c>
      <c r="K71" s="64" t="str">
        <f t="shared" ref="K71:K134" si="13">IF(G71="","",J71/2)</f>
        <v/>
      </c>
      <c r="L71" s="64" t="str">
        <f t="shared" ref="L71:L134" si="14">IF(G71="","",J71/4)</f>
        <v/>
      </c>
    </row>
    <row r="72" spans="1:12" x14ac:dyDescent="0.2">
      <c r="A72" s="24"/>
      <c r="B72" s="25"/>
      <c r="C72" s="26"/>
      <c r="D72" s="27"/>
      <c r="E72" s="28" t="str">
        <f t="shared" si="10"/>
        <v/>
      </c>
      <c r="F72" s="29" t="str">
        <f>IF(B72="","",B72-IFERROR(LOOKUP(2,1/(B$6:B71&lt;&gt;""),B$6:B71),76632))</f>
        <v/>
      </c>
      <c r="G72" s="30" t="str">
        <f t="shared" si="11"/>
        <v/>
      </c>
      <c r="H72" s="63" t="str">
        <f t="shared" si="7"/>
        <v/>
      </c>
      <c r="I72" s="31"/>
      <c r="J72" s="64" t="str">
        <f t="shared" si="12"/>
        <v/>
      </c>
      <c r="K72" s="64" t="str">
        <f t="shared" si="13"/>
        <v/>
      </c>
      <c r="L72" s="64" t="str">
        <f t="shared" si="14"/>
        <v/>
      </c>
    </row>
    <row r="73" spans="1:12" x14ac:dyDescent="0.2">
      <c r="A73" s="24"/>
      <c r="B73" s="25"/>
      <c r="C73" s="26"/>
      <c r="D73" s="27"/>
      <c r="E73" s="28" t="str">
        <f t="shared" si="10"/>
        <v/>
      </c>
      <c r="F73" s="29" t="str">
        <f>IF(B73="","",B73-IFERROR(LOOKUP(2,1/(B$6:B72&lt;&gt;""),B$6:B72),76632))</f>
        <v/>
      </c>
      <c r="G73" s="30" t="str">
        <f t="shared" si="11"/>
        <v/>
      </c>
      <c r="H73" s="63" t="str">
        <f t="shared" si="7"/>
        <v/>
      </c>
      <c r="I73" s="31"/>
      <c r="J73" s="64" t="str">
        <f t="shared" si="12"/>
        <v/>
      </c>
      <c r="K73" s="64" t="str">
        <f t="shared" si="13"/>
        <v/>
      </c>
      <c r="L73" s="64" t="str">
        <f t="shared" si="14"/>
        <v/>
      </c>
    </row>
    <row r="74" spans="1:12" x14ac:dyDescent="0.2">
      <c r="A74" s="24"/>
      <c r="B74" s="25"/>
      <c r="C74" s="26"/>
      <c r="D74" s="27"/>
      <c r="E74" s="28" t="str">
        <f t="shared" si="10"/>
        <v/>
      </c>
      <c r="F74" s="29" t="str">
        <f>IF(B74="","",B74-IFERROR(LOOKUP(2,1/(B$6:B73&lt;&gt;""),B$6:B73),76632))</f>
        <v/>
      </c>
      <c r="G74" s="30" t="str">
        <f t="shared" si="11"/>
        <v/>
      </c>
      <c r="H74" s="63" t="str">
        <f t="shared" ref="H74:H137" si="15">IF(G74="","",282.481/G74)</f>
        <v/>
      </c>
      <c r="I74" s="31"/>
      <c r="J74" s="64" t="str">
        <f t="shared" si="12"/>
        <v/>
      </c>
      <c r="K74" s="64" t="str">
        <f t="shared" si="13"/>
        <v/>
      </c>
      <c r="L74" s="64" t="str">
        <f t="shared" si="14"/>
        <v/>
      </c>
    </row>
    <row r="75" spans="1:12" x14ac:dyDescent="0.2">
      <c r="A75" s="24"/>
      <c r="B75" s="25"/>
      <c r="C75" s="26"/>
      <c r="D75" s="27"/>
      <c r="E75" s="28" t="str">
        <f t="shared" si="10"/>
        <v/>
      </c>
      <c r="F75" s="29" t="str">
        <f>IF(B75="","",B75-IFERROR(LOOKUP(2,1/(B$6:B74&lt;&gt;""),B$6:B74),76632))</f>
        <v/>
      </c>
      <c r="G75" s="30" t="str">
        <f t="shared" si="11"/>
        <v/>
      </c>
      <c r="H75" s="63" t="str">
        <f t="shared" si="15"/>
        <v/>
      </c>
      <c r="I75" s="31"/>
      <c r="J75" s="64" t="str">
        <f t="shared" si="12"/>
        <v/>
      </c>
      <c r="K75" s="64" t="str">
        <f t="shared" si="13"/>
        <v/>
      </c>
      <c r="L75" s="64" t="str">
        <f t="shared" si="14"/>
        <v/>
      </c>
    </row>
    <row r="76" spans="1:12" x14ac:dyDescent="0.2">
      <c r="A76" s="24"/>
      <c r="B76" s="25"/>
      <c r="C76" s="26"/>
      <c r="D76" s="27"/>
      <c r="E76" s="28" t="str">
        <f t="shared" si="10"/>
        <v/>
      </c>
      <c r="F76" s="29" t="str">
        <f>IF(B76="","",B76-IFERROR(LOOKUP(2,1/(B$6:B75&lt;&gt;""),B$6:B75),76632))</f>
        <v/>
      </c>
      <c r="G76" s="30" t="str">
        <f t="shared" si="11"/>
        <v/>
      </c>
      <c r="H76" s="63" t="str">
        <f t="shared" si="15"/>
        <v/>
      </c>
      <c r="I76" s="31"/>
      <c r="J76" s="64" t="str">
        <f t="shared" si="12"/>
        <v/>
      </c>
      <c r="K76" s="64" t="str">
        <f t="shared" si="13"/>
        <v/>
      </c>
      <c r="L76" s="64" t="str">
        <f t="shared" si="14"/>
        <v/>
      </c>
    </row>
    <row r="77" spans="1:12" x14ac:dyDescent="0.2">
      <c r="A77" s="24"/>
      <c r="B77" s="25"/>
      <c r="C77" s="26"/>
      <c r="D77" s="27"/>
      <c r="E77" s="28" t="str">
        <f t="shared" si="10"/>
        <v/>
      </c>
      <c r="F77" s="29" t="str">
        <f>IF(B77="","",B77-IFERROR(LOOKUP(2,1/(B$6:B76&lt;&gt;""),B$6:B76),76632))</f>
        <v/>
      </c>
      <c r="G77" s="30" t="str">
        <f t="shared" si="11"/>
        <v/>
      </c>
      <c r="H77" s="63" t="str">
        <f t="shared" si="15"/>
        <v/>
      </c>
      <c r="I77" s="31"/>
      <c r="J77" s="64" t="str">
        <f t="shared" si="12"/>
        <v/>
      </c>
      <c r="K77" s="64" t="str">
        <f t="shared" si="13"/>
        <v/>
      </c>
      <c r="L77" s="64" t="str">
        <f t="shared" si="14"/>
        <v/>
      </c>
    </row>
    <row r="78" spans="1:12" x14ac:dyDescent="0.2">
      <c r="A78" s="24"/>
      <c r="B78" s="25"/>
      <c r="C78" s="26"/>
      <c r="D78" s="27"/>
      <c r="E78" s="28" t="str">
        <f t="shared" si="10"/>
        <v/>
      </c>
      <c r="F78" s="29" t="str">
        <f>IF(B78="","",B78-IFERROR(LOOKUP(2,1/(B$6:B77&lt;&gt;""),B$6:B77),76632))</f>
        <v/>
      </c>
      <c r="G78" s="30" t="str">
        <f t="shared" si="11"/>
        <v/>
      </c>
      <c r="H78" s="63" t="str">
        <f t="shared" si="15"/>
        <v/>
      </c>
      <c r="I78" s="31"/>
      <c r="J78" s="64" t="str">
        <f t="shared" si="12"/>
        <v/>
      </c>
      <c r="K78" s="64" t="str">
        <f t="shared" si="13"/>
        <v/>
      </c>
      <c r="L78" s="64" t="str">
        <f t="shared" si="14"/>
        <v/>
      </c>
    </row>
    <row r="79" spans="1:12" x14ac:dyDescent="0.2">
      <c r="A79" s="24"/>
      <c r="B79" s="25"/>
      <c r="C79" s="26"/>
      <c r="D79" s="27"/>
      <c r="E79" s="28" t="str">
        <f t="shared" si="10"/>
        <v/>
      </c>
      <c r="F79" s="29" t="str">
        <f>IF(B79="","",B79-IFERROR(LOOKUP(2,1/(B$6:B78&lt;&gt;""),B$6:B78),76632))</f>
        <v/>
      </c>
      <c r="G79" s="30" t="str">
        <f t="shared" si="11"/>
        <v/>
      </c>
      <c r="H79" s="63" t="str">
        <f t="shared" si="15"/>
        <v/>
      </c>
      <c r="I79" s="31"/>
      <c r="J79" s="64" t="str">
        <f t="shared" si="12"/>
        <v/>
      </c>
      <c r="K79" s="64" t="str">
        <f t="shared" si="13"/>
        <v/>
      </c>
      <c r="L79" s="64" t="str">
        <f t="shared" si="14"/>
        <v/>
      </c>
    </row>
    <row r="80" spans="1:12" x14ac:dyDescent="0.2">
      <c r="A80" s="24"/>
      <c r="B80" s="25"/>
      <c r="C80" s="26"/>
      <c r="D80" s="27"/>
      <c r="E80" s="28" t="str">
        <f t="shared" si="10"/>
        <v/>
      </c>
      <c r="F80" s="29" t="str">
        <f>IF(B80="","",B80-IFERROR(LOOKUP(2,1/(B$6:B79&lt;&gt;""),B$6:B79),76632))</f>
        <v/>
      </c>
      <c r="G80" s="30" t="str">
        <f t="shared" si="11"/>
        <v/>
      </c>
      <c r="H80" s="63" t="str">
        <f t="shared" si="15"/>
        <v/>
      </c>
      <c r="I80" s="31"/>
      <c r="J80" s="64" t="str">
        <f t="shared" si="12"/>
        <v/>
      </c>
      <c r="K80" s="64" t="str">
        <f t="shared" si="13"/>
        <v/>
      </c>
      <c r="L80" s="64" t="str">
        <f t="shared" si="14"/>
        <v/>
      </c>
    </row>
    <row r="81" spans="1:12" x14ac:dyDescent="0.2">
      <c r="A81" s="24"/>
      <c r="B81" s="25"/>
      <c r="C81" s="26"/>
      <c r="D81" s="27"/>
      <c r="E81" s="28" t="str">
        <f t="shared" si="10"/>
        <v/>
      </c>
      <c r="F81" s="29" t="str">
        <f>IF(B81="","",B81-IFERROR(LOOKUP(2,1/(B$6:B80&lt;&gt;""),B$6:B80),76632))</f>
        <v/>
      </c>
      <c r="G81" s="30" t="str">
        <f t="shared" si="11"/>
        <v/>
      </c>
      <c r="H81" s="63" t="str">
        <f t="shared" si="15"/>
        <v/>
      </c>
      <c r="I81" s="31"/>
      <c r="J81" s="64" t="str">
        <f t="shared" si="12"/>
        <v/>
      </c>
      <c r="K81" s="64" t="str">
        <f t="shared" si="13"/>
        <v/>
      </c>
      <c r="L81" s="64" t="str">
        <f t="shared" si="14"/>
        <v/>
      </c>
    </row>
    <row r="82" spans="1:12" x14ac:dyDescent="0.2">
      <c r="A82" s="24"/>
      <c r="B82" s="25"/>
      <c r="C82" s="26"/>
      <c r="D82" s="27"/>
      <c r="E82" s="28" t="str">
        <f t="shared" si="10"/>
        <v/>
      </c>
      <c r="F82" s="29" t="str">
        <f>IF(B82="","",B82-IFERROR(LOOKUP(2,1/(B$6:B81&lt;&gt;""),B$6:B81),76632))</f>
        <v/>
      </c>
      <c r="G82" s="30" t="str">
        <f t="shared" si="11"/>
        <v/>
      </c>
      <c r="H82" s="63" t="str">
        <f t="shared" si="15"/>
        <v/>
      </c>
      <c r="I82" s="31"/>
      <c r="J82" s="64" t="str">
        <f t="shared" si="12"/>
        <v/>
      </c>
      <c r="K82" s="64" t="str">
        <f t="shared" si="13"/>
        <v/>
      </c>
      <c r="L82" s="64" t="str">
        <f t="shared" si="14"/>
        <v/>
      </c>
    </row>
    <row r="83" spans="1:12" x14ac:dyDescent="0.2">
      <c r="A83" s="24"/>
      <c r="B83" s="25"/>
      <c r="C83" s="26"/>
      <c r="D83" s="27"/>
      <c r="E83" s="28" t="str">
        <f t="shared" si="10"/>
        <v/>
      </c>
      <c r="F83" s="29" t="str">
        <f>IF(B83="","",B83-IFERROR(LOOKUP(2,1/(B$6:B82&lt;&gt;""),B$6:B82),76632))</f>
        <v/>
      </c>
      <c r="G83" s="30" t="str">
        <f t="shared" si="11"/>
        <v/>
      </c>
      <c r="H83" s="63" t="str">
        <f t="shared" si="15"/>
        <v/>
      </c>
      <c r="I83" s="31"/>
      <c r="J83" s="64" t="str">
        <f t="shared" si="12"/>
        <v/>
      </c>
      <c r="K83" s="64" t="str">
        <f t="shared" si="13"/>
        <v/>
      </c>
      <c r="L83" s="64" t="str">
        <f t="shared" si="14"/>
        <v/>
      </c>
    </row>
    <row r="84" spans="1:12" x14ac:dyDescent="0.2">
      <c r="A84" s="24"/>
      <c r="B84" s="25"/>
      <c r="C84" s="26"/>
      <c r="D84" s="27"/>
      <c r="E84" s="28" t="str">
        <f t="shared" si="10"/>
        <v/>
      </c>
      <c r="F84" s="29" t="str">
        <f>IF(B84="","",B84-IFERROR(LOOKUP(2,1/(B$6:B83&lt;&gt;""),B$6:B83),76632))</f>
        <v/>
      </c>
      <c r="G84" s="30" t="str">
        <f t="shared" si="11"/>
        <v/>
      </c>
      <c r="H84" s="63" t="str">
        <f t="shared" si="15"/>
        <v/>
      </c>
      <c r="I84" s="31"/>
      <c r="J84" s="64" t="str">
        <f t="shared" si="12"/>
        <v/>
      </c>
      <c r="K84" s="64" t="str">
        <f t="shared" si="13"/>
        <v/>
      </c>
      <c r="L84" s="64" t="str">
        <f t="shared" si="14"/>
        <v/>
      </c>
    </row>
    <row r="85" spans="1:12" x14ac:dyDescent="0.2">
      <c r="A85" s="24"/>
      <c r="B85" s="25"/>
      <c r="C85" s="26"/>
      <c r="D85" s="27"/>
      <c r="E85" s="28" t="str">
        <f t="shared" si="10"/>
        <v/>
      </c>
      <c r="F85" s="29" t="str">
        <f>IF(B85="","",B85-IFERROR(LOOKUP(2,1/(B$6:B84&lt;&gt;""),B$6:B84),76632))</f>
        <v/>
      </c>
      <c r="G85" s="30" t="str">
        <f t="shared" si="11"/>
        <v/>
      </c>
      <c r="H85" s="63" t="str">
        <f t="shared" si="15"/>
        <v/>
      </c>
      <c r="I85" s="31"/>
      <c r="J85" s="64" t="str">
        <f t="shared" si="12"/>
        <v/>
      </c>
      <c r="K85" s="64" t="str">
        <f t="shared" si="13"/>
        <v/>
      </c>
      <c r="L85" s="64" t="str">
        <f t="shared" si="14"/>
        <v/>
      </c>
    </row>
    <row r="86" spans="1:12" x14ac:dyDescent="0.2">
      <c r="A86" s="24"/>
      <c r="B86" s="25"/>
      <c r="C86" s="26"/>
      <c r="D86" s="27"/>
      <c r="E86" s="28" t="str">
        <f t="shared" si="10"/>
        <v/>
      </c>
      <c r="F86" s="29" t="str">
        <f>IF(B86="","",B86-IFERROR(LOOKUP(2,1/(B$6:B85&lt;&gt;""),B$6:B85),76632))</f>
        <v/>
      </c>
      <c r="G86" s="30" t="str">
        <f t="shared" si="11"/>
        <v/>
      </c>
      <c r="H86" s="63" t="str">
        <f t="shared" si="15"/>
        <v/>
      </c>
      <c r="I86" s="31"/>
      <c r="J86" s="64" t="str">
        <f t="shared" si="12"/>
        <v/>
      </c>
      <c r="K86" s="64" t="str">
        <f t="shared" si="13"/>
        <v/>
      </c>
      <c r="L86" s="64" t="str">
        <f t="shared" si="14"/>
        <v/>
      </c>
    </row>
    <row r="87" spans="1:12" x14ac:dyDescent="0.2">
      <c r="A87" s="24"/>
      <c r="B87" s="25"/>
      <c r="C87" s="26"/>
      <c r="D87" s="27"/>
      <c r="E87" s="28" t="str">
        <f t="shared" si="10"/>
        <v/>
      </c>
      <c r="F87" s="29" t="str">
        <f>IF(B87="","",B87-IFERROR(LOOKUP(2,1/(B$6:B86&lt;&gt;""),B$6:B86),76632))</f>
        <v/>
      </c>
      <c r="G87" s="30" t="str">
        <f t="shared" si="11"/>
        <v/>
      </c>
      <c r="H87" s="63" t="str">
        <f t="shared" si="15"/>
        <v/>
      </c>
      <c r="I87" s="31"/>
      <c r="J87" s="64" t="str">
        <f t="shared" si="12"/>
        <v/>
      </c>
      <c r="K87" s="64" t="str">
        <f t="shared" si="13"/>
        <v/>
      </c>
      <c r="L87" s="64" t="str">
        <f t="shared" si="14"/>
        <v/>
      </c>
    </row>
    <row r="88" spans="1:12" x14ac:dyDescent="0.2">
      <c r="A88" s="24"/>
      <c r="B88" s="25"/>
      <c r="C88" s="26"/>
      <c r="D88" s="27"/>
      <c r="E88" s="28" t="str">
        <f t="shared" si="10"/>
        <v/>
      </c>
      <c r="F88" s="29" t="str">
        <f>IF(B88="","",B88-IFERROR(LOOKUP(2,1/(B$6:B87&lt;&gt;""),B$6:B87),76632))</f>
        <v/>
      </c>
      <c r="G88" s="30" t="str">
        <f t="shared" si="11"/>
        <v/>
      </c>
      <c r="H88" s="63" t="str">
        <f t="shared" si="15"/>
        <v/>
      </c>
      <c r="I88" s="31"/>
      <c r="J88" s="64" t="str">
        <f t="shared" si="12"/>
        <v/>
      </c>
      <c r="K88" s="64" t="str">
        <f t="shared" si="13"/>
        <v/>
      </c>
      <c r="L88" s="64" t="str">
        <f t="shared" si="14"/>
        <v/>
      </c>
    </row>
    <row r="89" spans="1:12" x14ac:dyDescent="0.2">
      <c r="A89" s="24"/>
      <c r="B89" s="25"/>
      <c r="C89" s="26"/>
      <c r="D89" s="27"/>
      <c r="E89" s="28" t="str">
        <f t="shared" si="10"/>
        <v/>
      </c>
      <c r="F89" s="29" t="str">
        <f>IF(B89="","",B89-IFERROR(LOOKUP(2,1/(B$6:B88&lt;&gt;""),B$6:B88),76632))</f>
        <v/>
      </c>
      <c r="G89" s="30" t="str">
        <f t="shared" si="11"/>
        <v/>
      </c>
      <c r="H89" s="63" t="str">
        <f t="shared" si="15"/>
        <v/>
      </c>
      <c r="I89" s="31"/>
      <c r="J89" s="64" t="str">
        <f t="shared" si="12"/>
        <v/>
      </c>
      <c r="K89" s="64" t="str">
        <f t="shared" si="13"/>
        <v/>
      </c>
      <c r="L89" s="64" t="str">
        <f t="shared" si="14"/>
        <v/>
      </c>
    </row>
    <row r="90" spans="1:12" x14ac:dyDescent="0.2">
      <c r="A90" s="24"/>
      <c r="B90" s="25"/>
      <c r="C90" s="26"/>
      <c r="D90" s="27"/>
      <c r="E90" s="28" t="str">
        <f t="shared" si="10"/>
        <v/>
      </c>
      <c r="F90" s="29" t="str">
        <f>IF(B90="","",B90-IFERROR(LOOKUP(2,1/(B$6:B89&lt;&gt;""),B$6:B89),76632))</f>
        <v/>
      </c>
      <c r="G90" s="30" t="str">
        <f t="shared" si="11"/>
        <v/>
      </c>
      <c r="H90" s="63" t="str">
        <f t="shared" si="15"/>
        <v/>
      </c>
      <c r="I90" s="31"/>
      <c r="J90" s="64" t="str">
        <f t="shared" si="12"/>
        <v/>
      </c>
      <c r="K90" s="64" t="str">
        <f t="shared" si="13"/>
        <v/>
      </c>
      <c r="L90" s="64" t="str">
        <f t="shared" si="14"/>
        <v/>
      </c>
    </row>
    <row r="91" spans="1:12" x14ac:dyDescent="0.2">
      <c r="A91" s="24"/>
      <c r="B91" s="25"/>
      <c r="C91" s="26"/>
      <c r="D91" s="27"/>
      <c r="E91" s="28" t="str">
        <f t="shared" si="10"/>
        <v/>
      </c>
      <c r="F91" s="29" t="str">
        <f>IF(B91="","",B91-IFERROR(LOOKUP(2,1/(B$6:B90&lt;&gt;""),B$6:B90),76632))</f>
        <v/>
      </c>
      <c r="G91" s="30" t="str">
        <f t="shared" si="11"/>
        <v/>
      </c>
      <c r="H91" s="63" t="str">
        <f t="shared" si="15"/>
        <v/>
      </c>
      <c r="I91" s="31"/>
      <c r="J91" s="64" t="str">
        <f t="shared" si="12"/>
        <v/>
      </c>
      <c r="K91" s="64" t="str">
        <f t="shared" si="13"/>
        <v/>
      </c>
      <c r="L91" s="64" t="str">
        <f t="shared" si="14"/>
        <v/>
      </c>
    </row>
    <row r="92" spans="1:12" x14ac:dyDescent="0.2">
      <c r="A92" s="24"/>
      <c r="B92" s="25"/>
      <c r="C92" s="26"/>
      <c r="D92" s="27"/>
      <c r="E92" s="28" t="str">
        <f t="shared" si="10"/>
        <v/>
      </c>
      <c r="F92" s="29" t="str">
        <f>IF(B92="","",B92-IFERROR(LOOKUP(2,1/(B$6:B91&lt;&gt;""),B$6:B91),76632))</f>
        <v/>
      </c>
      <c r="G92" s="30" t="str">
        <f t="shared" si="11"/>
        <v/>
      </c>
      <c r="H92" s="63" t="str">
        <f t="shared" si="15"/>
        <v/>
      </c>
      <c r="I92" s="31"/>
      <c r="J92" s="64" t="str">
        <f t="shared" si="12"/>
        <v/>
      </c>
      <c r="K92" s="64" t="str">
        <f t="shared" si="13"/>
        <v/>
      </c>
      <c r="L92" s="64" t="str">
        <f t="shared" si="14"/>
        <v/>
      </c>
    </row>
    <row r="93" spans="1:12" x14ac:dyDescent="0.2">
      <c r="A93" s="24"/>
      <c r="B93" s="25"/>
      <c r="C93" s="26"/>
      <c r="D93" s="27"/>
      <c r="E93" s="28" t="str">
        <f t="shared" si="10"/>
        <v/>
      </c>
      <c r="F93" s="29" t="str">
        <f>IF(B93="","",B93-IFERROR(LOOKUP(2,1/(B$6:B92&lt;&gt;""),B$6:B92),76632))</f>
        <v/>
      </c>
      <c r="G93" s="30" t="str">
        <f t="shared" si="11"/>
        <v/>
      </c>
      <c r="H93" s="63" t="str">
        <f t="shared" si="15"/>
        <v/>
      </c>
      <c r="I93" s="31"/>
      <c r="J93" s="64" t="str">
        <f t="shared" si="12"/>
        <v/>
      </c>
      <c r="K93" s="64" t="str">
        <f t="shared" si="13"/>
        <v/>
      </c>
      <c r="L93" s="64" t="str">
        <f t="shared" si="14"/>
        <v/>
      </c>
    </row>
    <row r="94" spans="1:12" x14ac:dyDescent="0.2">
      <c r="A94" s="24"/>
      <c r="B94" s="25"/>
      <c r="C94" s="26"/>
      <c r="D94" s="27"/>
      <c r="E94" s="28" t="str">
        <f t="shared" si="10"/>
        <v/>
      </c>
      <c r="F94" s="29" t="str">
        <f>IF(B94="","",B94-IFERROR(LOOKUP(2,1/(B$6:B93&lt;&gt;""),B$6:B93),76632))</f>
        <v/>
      </c>
      <c r="G94" s="30" t="str">
        <f t="shared" si="11"/>
        <v/>
      </c>
      <c r="H94" s="63" t="str">
        <f t="shared" si="15"/>
        <v/>
      </c>
      <c r="I94" s="31"/>
      <c r="J94" s="64" t="str">
        <f t="shared" si="12"/>
        <v/>
      </c>
      <c r="K94" s="64" t="str">
        <f t="shared" si="13"/>
        <v/>
      </c>
      <c r="L94" s="64" t="str">
        <f t="shared" si="14"/>
        <v/>
      </c>
    </row>
    <row r="95" spans="1:12" x14ac:dyDescent="0.2">
      <c r="A95" s="24"/>
      <c r="B95" s="25"/>
      <c r="C95" s="26"/>
      <c r="D95" s="27"/>
      <c r="E95" s="28" t="str">
        <f t="shared" si="10"/>
        <v/>
      </c>
      <c r="F95" s="29" t="str">
        <f>IF(B95="","",B95-IFERROR(LOOKUP(2,1/(B$6:B94&lt;&gt;""),B$6:B94),76632))</f>
        <v/>
      </c>
      <c r="G95" s="30" t="str">
        <f t="shared" si="11"/>
        <v/>
      </c>
      <c r="H95" s="63" t="str">
        <f t="shared" si="15"/>
        <v/>
      </c>
      <c r="I95" s="31"/>
      <c r="J95" s="64" t="str">
        <f t="shared" si="12"/>
        <v/>
      </c>
      <c r="K95" s="64" t="str">
        <f t="shared" si="13"/>
        <v/>
      </c>
      <c r="L95" s="64" t="str">
        <f t="shared" si="14"/>
        <v/>
      </c>
    </row>
    <row r="96" spans="1:12" x14ac:dyDescent="0.2">
      <c r="A96" s="24"/>
      <c r="B96" s="25"/>
      <c r="C96" s="26"/>
      <c r="D96" s="27"/>
      <c r="E96" s="28" t="str">
        <f t="shared" si="10"/>
        <v/>
      </c>
      <c r="F96" s="29" t="str">
        <f>IF(B96="","",B96-IFERROR(LOOKUP(2,1/(B$6:B95&lt;&gt;""),B$6:B95),76632))</f>
        <v/>
      </c>
      <c r="G96" s="30" t="str">
        <f t="shared" si="11"/>
        <v/>
      </c>
      <c r="H96" s="63" t="str">
        <f t="shared" si="15"/>
        <v/>
      </c>
      <c r="I96" s="31"/>
      <c r="J96" s="64" t="str">
        <f t="shared" si="12"/>
        <v/>
      </c>
      <c r="K96" s="64" t="str">
        <f t="shared" si="13"/>
        <v/>
      </c>
      <c r="L96" s="64" t="str">
        <f t="shared" si="14"/>
        <v/>
      </c>
    </row>
    <row r="97" spans="1:12" x14ac:dyDescent="0.2">
      <c r="A97" s="24"/>
      <c r="B97" s="25"/>
      <c r="C97" s="26"/>
      <c r="D97" s="27"/>
      <c r="E97" s="28" t="str">
        <f t="shared" si="10"/>
        <v/>
      </c>
      <c r="F97" s="29" t="str">
        <f>IF(B97="","",B97-IFERROR(LOOKUP(2,1/(B$6:B96&lt;&gt;""),B$6:B96),76632))</f>
        <v/>
      </c>
      <c r="G97" s="30" t="str">
        <f t="shared" si="11"/>
        <v/>
      </c>
      <c r="H97" s="63" t="str">
        <f t="shared" si="15"/>
        <v/>
      </c>
      <c r="I97" s="31"/>
      <c r="J97" s="64" t="str">
        <f t="shared" si="12"/>
        <v/>
      </c>
      <c r="K97" s="64" t="str">
        <f t="shared" si="13"/>
        <v/>
      </c>
      <c r="L97" s="64" t="str">
        <f t="shared" si="14"/>
        <v/>
      </c>
    </row>
    <row r="98" spans="1:12" x14ac:dyDescent="0.2">
      <c r="A98" s="24"/>
      <c r="B98" s="25"/>
      <c r="C98" s="26"/>
      <c r="D98" s="27"/>
      <c r="E98" s="28" t="str">
        <f t="shared" si="10"/>
        <v/>
      </c>
      <c r="F98" s="29" t="str">
        <f>IF(B98="","",B98-IFERROR(LOOKUP(2,1/(B$6:B97&lt;&gt;""),B$6:B97),76632))</f>
        <v/>
      </c>
      <c r="G98" s="30" t="str">
        <f t="shared" si="11"/>
        <v/>
      </c>
      <c r="H98" s="63" t="str">
        <f t="shared" si="15"/>
        <v/>
      </c>
      <c r="I98" s="31"/>
      <c r="J98" s="64" t="str">
        <f t="shared" si="12"/>
        <v/>
      </c>
      <c r="K98" s="64" t="str">
        <f t="shared" si="13"/>
        <v/>
      </c>
      <c r="L98" s="64" t="str">
        <f t="shared" si="14"/>
        <v/>
      </c>
    </row>
    <row r="99" spans="1:12" x14ac:dyDescent="0.2">
      <c r="A99" s="24"/>
      <c r="B99" s="25"/>
      <c r="C99" s="26"/>
      <c r="D99" s="27"/>
      <c r="E99" s="28" t="str">
        <f t="shared" si="10"/>
        <v/>
      </c>
      <c r="F99" s="29" t="str">
        <f>IF(B99="","",B99-IFERROR(LOOKUP(2,1/(B$6:B98&lt;&gt;""),B$6:B98),76632))</f>
        <v/>
      </c>
      <c r="G99" s="30" t="str">
        <f t="shared" si="11"/>
        <v/>
      </c>
      <c r="H99" s="63" t="str">
        <f t="shared" si="15"/>
        <v/>
      </c>
      <c r="I99" s="31"/>
      <c r="J99" s="64" t="str">
        <f t="shared" si="12"/>
        <v/>
      </c>
      <c r="K99" s="64" t="str">
        <f t="shared" si="13"/>
        <v/>
      </c>
      <c r="L99" s="64" t="str">
        <f t="shared" si="14"/>
        <v/>
      </c>
    </row>
    <row r="100" spans="1:12" x14ac:dyDescent="0.2">
      <c r="A100" s="24"/>
      <c r="B100" s="25"/>
      <c r="C100" s="26"/>
      <c r="D100" s="27"/>
      <c r="E100" s="28" t="str">
        <f t="shared" si="10"/>
        <v/>
      </c>
      <c r="F100" s="29" t="str">
        <f>IF(B100="","",B100-IFERROR(LOOKUP(2,1/(B$6:B99&lt;&gt;""),B$6:B99),76632))</f>
        <v/>
      </c>
      <c r="G100" s="30" t="str">
        <f t="shared" si="11"/>
        <v/>
      </c>
      <c r="H100" s="63" t="str">
        <f t="shared" si="15"/>
        <v/>
      </c>
      <c r="I100" s="31"/>
      <c r="J100" s="64" t="str">
        <f t="shared" si="12"/>
        <v/>
      </c>
      <c r="K100" s="64" t="str">
        <f t="shared" si="13"/>
        <v/>
      </c>
      <c r="L100" s="64" t="str">
        <f t="shared" si="14"/>
        <v/>
      </c>
    </row>
    <row r="101" spans="1:12" x14ac:dyDescent="0.2">
      <c r="A101" s="24"/>
      <c r="B101" s="25"/>
      <c r="C101" s="26"/>
      <c r="D101" s="27"/>
      <c r="E101" s="28" t="str">
        <f t="shared" si="10"/>
        <v/>
      </c>
      <c r="F101" s="29" t="str">
        <f>IF(B101="","",B101-IFERROR(LOOKUP(2,1/(B$6:B100&lt;&gt;""),B$6:B100),76632))</f>
        <v/>
      </c>
      <c r="G101" s="30" t="str">
        <f t="shared" si="11"/>
        <v/>
      </c>
      <c r="H101" s="63" t="str">
        <f t="shared" si="15"/>
        <v/>
      </c>
      <c r="I101" s="31"/>
      <c r="J101" s="64" t="str">
        <f t="shared" si="12"/>
        <v/>
      </c>
      <c r="K101" s="64" t="str">
        <f t="shared" si="13"/>
        <v/>
      </c>
      <c r="L101" s="64" t="str">
        <f t="shared" si="14"/>
        <v/>
      </c>
    </row>
    <row r="102" spans="1:12" x14ac:dyDescent="0.2">
      <c r="A102" s="24"/>
      <c r="B102" s="25"/>
      <c r="C102" s="26"/>
      <c r="D102" s="27"/>
      <c r="E102" s="28" t="str">
        <f t="shared" ref="E102:E133" si="16">IF(OR(C102="",D102=""),"",C102*D102)</f>
        <v/>
      </c>
      <c r="F102" s="29" t="str">
        <f>IF(B102="","",B102-IFERROR(LOOKUP(2,1/(B$6:B101&lt;&gt;""),B$6:B101),76632))</f>
        <v/>
      </c>
      <c r="G102" s="30" t="str">
        <f t="shared" ref="G102:G133" si="17">IF(OR(C102="",F102="",C102=0),"",F102*4.54609/C102)</f>
        <v/>
      </c>
      <c r="H102" s="63" t="str">
        <f t="shared" si="15"/>
        <v/>
      </c>
      <c r="I102" s="31"/>
      <c r="J102" s="64" t="str">
        <f t="shared" si="12"/>
        <v/>
      </c>
      <c r="K102" s="64" t="str">
        <f t="shared" si="13"/>
        <v/>
      </c>
      <c r="L102" s="64" t="str">
        <f t="shared" si="14"/>
        <v/>
      </c>
    </row>
    <row r="103" spans="1:12" x14ac:dyDescent="0.2">
      <c r="A103" s="24"/>
      <c r="B103" s="25"/>
      <c r="C103" s="26"/>
      <c r="D103" s="27"/>
      <c r="E103" s="28" t="str">
        <f t="shared" si="16"/>
        <v/>
      </c>
      <c r="F103" s="29" t="str">
        <f>IF(B103="","",B103-IFERROR(LOOKUP(2,1/(B$6:B102&lt;&gt;""),B$6:B102),76632))</f>
        <v/>
      </c>
      <c r="G103" s="30" t="str">
        <f t="shared" si="17"/>
        <v/>
      </c>
      <c r="H103" s="63" t="str">
        <f t="shared" si="15"/>
        <v/>
      </c>
      <c r="I103" s="31"/>
      <c r="J103" s="64" t="str">
        <f t="shared" si="12"/>
        <v/>
      </c>
      <c r="K103" s="64" t="str">
        <f t="shared" si="13"/>
        <v/>
      </c>
      <c r="L103" s="64" t="str">
        <f t="shared" si="14"/>
        <v/>
      </c>
    </row>
    <row r="104" spans="1:12" x14ac:dyDescent="0.2">
      <c r="A104" s="24"/>
      <c r="B104" s="25"/>
      <c r="C104" s="26"/>
      <c r="D104" s="27"/>
      <c r="E104" s="28" t="str">
        <f t="shared" si="16"/>
        <v/>
      </c>
      <c r="F104" s="29" t="str">
        <f>IF(B104="","",B104-IFERROR(LOOKUP(2,1/(B$6:B103&lt;&gt;""),B$6:B103),76632))</f>
        <v/>
      </c>
      <c r="G104" s="30" t="str">
        <f t="shared" si="17"/>
        <v/>
      </c>
      <c r="H104" s="63" t="str">
        <f t="shared" si="15"/>
        <v/>
      </c>
      <c r="I104" s="31"/>
      <c r="J104" s="64" t="str">
        <f t="shared" si="12"/>
        <v/>
      </c>
      <c r="K104" s="64" t="str">
        <f t="shared" si="13"/>
        <v/>
      </c>
      <c r="L104" s="64" t="str">
        <f t="shared" si="14"/>
        <v/>
      </c>
    </row>
    <row r="105" spans="1:12" x14ac:dyDescent="0.2">
      <c r="A105" s="24"/>
      <c r="B105" s="25"/>
      <c r="C105" s="26"/>
      <c r="D105" s="27"/>
      <c r="E105" s="28" t="str">
        <f t="shared" si="16"/>
        <v/>
      </c>
      <c r="F105" s="29" t="str">
        <f>IF(B105="","",B105-IFERROR(LOOKUP(2,1/(B$6:B104&lt;&gt;""),B$6:B104),76632))</f>
        <v/>
      </c>
      <c r="G105" s="30" t="str">
        <f t="shared" si="17"/>
        <v/>
      </c>
      <c r="H105" s="63" t="str">
        <f t="shared" si="15"/>
        <v/>
      </c>
      <c r="I105" s="31"/>
      <c r="J105" s="64" t="str">
        <f t="shared" si="12"/>
        <v/>
      </c>
      <c r="K105" s="64" t="str">
        <f t="shared" si="13"/>
        <v/>
      </c>
      <c r="L105" s="64" t="str">
        <f t="shared" si="14"/>
        <v/>
      </c>
    </row>
    <row r="106" spans="1:12" x14ac:dyDescent="0.2">
      <c r="A106" s="24"/>
      <c r="B106" s="25"/>
      <c r="C106" s="26"/>
      <c r="D106" s="27"/>
      <c r="E106" s="28" t="str">
        <f t="shared" si="16"/>
        <v/>
      </c>
      <c r="F106" s="29" t="str">
        <f>IF(B106="","",B106-IFERROR(LOOKUP(2,1/(B$6:B105&lt;&gt;""),B$6:B105),76632))</f>
        <v/>
      </c>
      <c r="G106" s="30" t="str">
        <f t="shared" si="17"/>
        <v/>
      </c>
      <c r="H106" s="63" t="str">
        <f t="shared" si="15"/>
        <v/>
      </c>
      <c r="I106" s="31"/>
      <c r="J106" s="64" t="str">
        <f t="shared" si="12"/>
        <v/>
      </c>
      <c r="K106" s="64" t="str">
        <f t="shared" si="13"/>
        <v/>
      </c>
      <c r="L106" s="64" t="str">
        <f t="shared" si="14"/>
        <v/>
      </c>
    </row>
    <row r="107" spans="1:12" x14ac:dyDescent="0.2">
      <c r="A107" s="24"/>
      <c r="B107" s="25"/>
      <c r="C107" s="26"/>
      <c r="D107" s="27"/>
      <c r="E107" s="28" t="str">
        <f t="shared" si="16"/>
        <v/>
      </c>
      <c r="F107" s="29" t="str">
        <f>IF(B107="","",B107-IFERROR(LOOKUP(2,1/(B$6:B106&lt;&gt;""),B$6:B106),76632))</f>
        <v/>
      </c>
      <c r="G107" s="30" t="str">
        <f t="shared" si="17"/>
        <v/>
      </c>
      <c r="H107" s="63" t="str">
        <f t="shared" si="15"/>
        <v/>
      </c>
      <c r="I107" s="31"/>
      <c r="J107" s="64" t="str">
        <f t="shared" si="12"/>
        <v/>
      </c>
      <c r="K107" s="64" t="str">
        <f t="shared" si="13"/>
        <v/>
      </c>
      <c r="L107" s="64" t="str">
        <f t="shared" si="14"/>
        <v/>
      </c>
    </row>
    <row r="108" spans="1:12" x14ac:dyDescent="0.2">
      <c r="A108" s="24"/>
      <c r="B108" s="25"/>
      <c r="C108" s="26"/>
      <c r="D108" s="27"/>
      <c r="E108" s="28" t="str">
        <f t="shared" si="16"/>
        <v/>
      </c>
      <c r="F108" s="29" t="str">
        <f>IF(B108="","",B108-IFERROR(LOOKUP(2,1/(B$6:B107&lt;&gt;""),B$6:B107),76632))</f>
        <v/>
      </c>
      <c r="G108" s="30" t="str">
        <f t="shared" si="17"/>
        <v/>
      </c>
      <c r="H108" s="63" t="str">
        <f t="shared" si="15"/>
        <v/>
      </c>
      <c r="I108" s="31"/>
      <c r="J108" s="64" t="str">
        <f t="shared" si="12"/>
        <v/>
      </c>
      <c r="K108" s="64" t="str">
        <f t="shared" si="13"/>
        <v/>
      </c>
      <c r="L108" s="64" t="str">
        <f t="shared" si="14"/>
        <v/>
      </c>
    </row>
    <row r="109" spans="1:12" x14ac:dyDescent="0.2">
      <c r="A109" s="24"/>
      <c r="B109" s="25"/>
      <c r="C109" s="26"/>
      <c r="D109" s="27"/>
      <c r="E109" s="28" t="str">
        <f t="shared" si="16"/>
        <v/>
      </c>
      <c r="F109" s="29" t="str">
        <f>IF(B109="","",B109-IFERROR(LOOKUP(2,1/(B$6:B108&lt;&gt;""),B$6:B108),76632))</f>
        <v/>
      </c>
      <c r="G109" s="30" t="str">
        <f t="shared" si="17"/>
        <v/>
      </c>
      <c r="H109" s="63" t="str">
        <f t="shared" si="15"/>
        <v/>
      </c>
      <c r="I109" s="31"/>
      <c r="J109" s="64" t="str">
        <f t="shared" si="12"/>
        <v/>
      </c>
      <c r="K109" s="64" t="str">
        <f t="shared" si="13"/>
        <v/>
      </c>
      <c r="L109" s="64" t="str">
        <f t="shared" si="14"/>
        <v/>
      </c>
    </row>
    <row r="110" spans="1:12" x14ac:dyDescent="0.2">
      <c r="A110" s="24"/>
      <c r="B110" s="25"/>
      <c r="C110" s="26"/>
      <c r="D110" s="27"/>
      <c r="E110" s="28" t="str">
        <f t="shared" si="16"/>
        <v/>
      </c>
      <c r="F110" s="29" t="str">
        <f>IF(B110="","",B110-IFERROR(LOOKUP(2,1/(B$6:B109&lt;&gt;""),B$6:B109),76632))</f>
        <v/>
      </c>
      <c r="G110" s="30" t="str">
        <f t="shared" si="17"/>
        <v/>
      </c>
      <c r="H110" s="63" t="str">
        <f t="shared" si="15"/>
        <v/>
      </c>
      <c r="I110" s="31"/>
      <c r="J110" s="64" t="str">
        <f t="shared" si="12"/>
        <v/>
      </c>
      <c r="K110" s="64" t="str">
        <f t="shared" si="13"/>
        <v/>
      </c>
      <c r="L110" s="64" t="str">
        <f t="shared" si="14"/>
        <v/>
      </c>
    </row>
    <row r="111" spans="1:12" x14ac:dyDescent="0.2">
      <c r="A111" s="24"/>
      <c r="B111" s="25"/>
      <c r="C111" s="26"/>
      <c r="D111" s="27"/>
      <c r="E111" s="28" t="str">
        <f t="shared" si="16"/>
        <v/>
      </c>
      <c r="F111" s="29" t="str">
        <f>IF(B111="","",B111-IFERROR(LOOKUP(2,1/(B$6:B110&lt;&gt;""),B$6:B110),76632))</f>
        <v/>
      </c>
      <c r="G111" s="30" t="str">
        <f t="shared" si="17"/>
        <v/>
      </c>
      <c r="H111" s="63" t="str">
        <f t="shared" si="15"/>
        <v/>
      </c>
      <c r="I111" s="31"/>
      <c r="J111" s="64" t="str">
        <f t="shared" si="12"/>
        <v/>
      </c>
      <c r="K111" s="64" t="str">
        <f t="shared" si="13"/>
        <v/>
      </c>
      <c r="L111" s="64" t="str">
        <f t="shared" si="14"/>
        <v/>
      </c>
    </row>
    <row r="112" spans="1:12" x14ac:dyDescent="0.2">
      <c r="A112" s="24"/>
      <c r="B112" s="25"/>
      <c r="C112" s="26"/>
      <c r="D112" s="27"/>
      <c r="E112" s="28" t="str">
        <f t="shared" si="16"/>
        <v/>
      </c>
      <c r="F112" s="29" t="str">
        <f>IF(B112="","",B112-IFERROR(LOOKUP(2,1/(B$6:B111&lt;&gt;""),B$6:B111),76632))</f>
        <v/>
      </c>
      <c r="G112" s="30" t="str">
        <f t="shared" si="17"/>
        <v/>
      </c>
      <c r="H112" s="63" t="str">
        <f t="shared" si="15"/>
        <v/>
      </c>
      <c r="I112" s="31"/>
      <c r="J112" s="64" t="str">
        <f t="shared" si="12"/>
        <v/>
      </c>
      <c r="K112" s="64" t="str">
        <f t="shared" si="13"/>
        <v/>
      </c>
      <c r="L112" s="64" t="str">
        <f t="shared" si="14"/>
        <v/>
      </c>
    </row>
    <row r="113" spans="1:12" x14ac:dyDescent="0.2">
      <c r="A113" s="24"/>
      <c r="B113" s="25"/>
      <c r="C113" s="26"/>
      <c r="D113" s="27"/>
      <c r="E113" s="28" t="str">
        <f t="shared" si="16"/>
        <v/>
      </c>
      <c r="F113" s="29" t="str">
        <f>IF(B113="","",B113-IFERROR(LOOKUP(2,1/(B$6:B112&lt;&gt;""),B$6:B112),76632))</f>
        <v/>
      </c>
      <c r="G113" s="30" t="str">
        <f t="shared" si="17"/>
        <v/>
      </c>
      <c r="H113" s="63" t="str">
        <f t="shared" si="15"/>
        <v/>
      </c>
      <c r="I113" s="31"/>
      <c r="J113" s="64" t="str">
        <f t="shared" si="12"/>
        <v/>
      </c>
      <c r="K113" s="64" t="str">
        <f t="shared" si="13"/>
        <v/>
      </c>
      <c r="L113" s="64" t="str">
        <f t="shared" si="14"/>
        <v/>
      </c>
    </row>
    <row r="114" spans="1:12" x14ac:dyDescent="0.2">
      <c r="A114" s="24"/>
      <c r="B114" s="25"/>
      <c r="C114" s="26"/>
      <c r="D114" s="27"/>
      <c r="E114" s="28" t="str">
        <f t="shared" si="16"/>
        <v/>
      </c>
      <c r="F114" s="29" t="str">
        <f>IF(B114="","",B114-IFERROR(LOOKUP(2,1/(B$6:B113&lt;&gt;""),B$6:B113),76632))</f>
        <v/>
      </c>
      <c r="G114" s="30" t="str">
        <f t="shared" si="17"/>
        <v/>
      </c>
      <c r="H114" s="63" t="str">
        <f t="shared" si="15"/>
        <v/>
      </c>
      <c r="I114" s="31"/>
      <c r="J114" s="64" t="str">
        <f t="shared" si="12"/>
        <v/>
      </c>
      <c r="K114" s="64" t="str">
        <f t="shared" si="13"/>
        <v/>
      </c>
      <c r="L114" s="64" t="str">
        <f t="shared" si="14"/>
        <v/>
      </c>
    </row>
    <row r="115" spans="1:12" x14ac:dyDescent="0.2">
      <c r="A115" s="24"/>
      <c r="B115" s="25"/>
      <c r="C115" s="26"/>
      <c r="D115" s="27"/>
      <c r="E115" s="28" t="str">
        <f t="shared" si="16"/>
        <v/>
      </c>
      <c r="F115" s="29" t="str">
        <f>IF(B115="","",B115-IFERROR(LOOKUP(2,1/(B$6:B114&lt;&gt;""),B$6:B114),76632))</f>
        <v/>
      </c>
      <c r="G115" s="30" t="str">
        <f t="shared" si="17"/>
        <v/>
      </c>
      <c r="H115" s="63" t="str">
        <f t="shared" si="15"/>
        <v/>
      </c>
      <c r="I115" s="31"/>
      <c r="J115" s="64" t="str">
        <f t="shared" si="12"/>
        <v/>
      </c>
      <c r="K115" s="64" t="str">
        <f t="shared" si="13"/>
        <v/>
      </c>
      <c r="L115" s="64" t="str">
        <f t="shared" si="14"/>
        <v/>
      </c>
    </row>
    <row r="116" spans="1:12" x14ac:dyDescent="0.2">
      <c r="A116" s="24"/>
      <c r="B116" s="25"/>
      <c r="C116" s="26"/>
      <c r="D116" s="27"/>
      <c r="E116" s="28" t="str">
        <f t="shared" si="16"/>
        <v/>
      </c>
      <c r="F116" s="29" t="str">
        <f>IF(B116="","",B116-IFERROR(LOOKUP(2,1/(B$6:B115&lt;&gt;""),B$6:B115),76632))</f>
        <v/>
      </c>
      <c r="G116" s="30" t="str">
        <f t="shared" si="17"/>
        <v/>
      </c>
      <c r="H116" s="63" t="str">
        <f t="shared" si="15"/>
        <v/>
      </c>
      <c r="I116" s="31"/>
      <c r="J116" s="64" t="str">
        <f t="shared" si="12"/>
        <v/>
      </c>
      <c r="K116" s="64" t="str">
        <f t="shared" si="13"/>
        <v/>
      </c>
      <c r="L116" s="64" t="str">
        <f t="shared" si="14"/>
        <v/>
      </c>
    </row>
    <row r="117" spans="1:12" x14ac:dyDescent="0.2">
      <c r="A117" s="24"/>
      <c r="B117" s="25"/>
      <c r="C117" s="26"/>
      <c r="D117" s="27"/>
      <c r="E117" s="28" t="str">
        <f t="shared" si="16"/>
        <v/>
      </c>
      <c r="F117" s="29" t="str">
        <f>IF(B117="","",B117-IFERROR(LOOKUP(2,1/(B$6:B116&lt;&gt;""),B$6:B116),76632))</f>
        <v/>
      </c>
      <c r="G117" s="30" t="str">
        <f t="shared" si="17"/>
        <v/>
      </c>
      <c r="H117" s="63" t="str">
        <f t="shared" si="15"/>
        <v/>
      </c>
      <c r="I117" s="31"/>
      <c r="J117" s="64" t="str">
        <f t="shared" si="12"/>
        <v/>
      </c>
      <c r="K117" s="64" t="str">
        <f t="shared" si="13"/>
        <v/>
      </c>
      <c r="L117" s="64" t="str">
        <f t="shared" si="14"/>
        <v/>
      </c>
    </row>
    <row r="118" spans="1:12" x14ac:dyDescent="0.2">
      <c r="A118" s="24"/>
      <c r="B118" s="25"/>
      <c r="C118" s="26"/>
      <c r="D118" s="27"/>
      <c r="E118" s="28" t="str">
        <f t="shared" si="16"/>
        <v/>
      </c>
      <c r="F118" s="29" t="str">
        <f>IF(B118="","",B118-IFERROR(LOOKUP(2,1/(B$6:B117&lt;&gt;""),B$6:B117),76632))</f>
        <v/>
      </c>
      <c r="G118" s="30" t="str">
        <f t="shared" si="17"/>
        <v/>
      </c>
      <c r="H118" s="63" t="str">
        <f t="shared" si="15"/>
        <v/>
      </c>
      <c r="I118" s="31"/>
      <c r="J118" s="64" t="str">
        <f t="shared" si="12"/>
        <v/>
      </c>
      <c r="K118" s="64" t="str">
        <f t="shared" si="13"/>
        <v/>
      </c>
      <c r="L118" s="64" t="str">
        <f t="shared" si="14"/>
        <v/>
      </c>
    </row>
    <row r="119" spans="1:12" x14ac:dyDescent="0.2">
      <c r="A119" s="24"/>
      <c r="B119" s="25"/>
      <c r="C119" s="26"/>
      <c r="D119" s="27"/>
      <c r="E119" s="28" t="str">
        <f t="shared" si="16"/>
        <v/>
      </c>
      <c r="F119" s="29" t="str">
        <f>IF(B119="","",B119-IFERROR(LOOKUP(2,1/(B$6:B118&lt;&gt;""),B$6:B118),76632))</f>
        <v/>
      </c>
      <c r="G119" s="30" t="str">
        <f t="shared" si="17"/>
        <v/>
      </c>
      <c r="H119" s="63" t="str">
        <f t="shared" si="15"/>
        <v/>
      </c>
      <c r="I119" s="31"/>
      <c r="J119" s="64" t="str">
        <f t="shared" si="12"/>
        <v/>
      </c>
      <c r="K119" s="64" t="str">
        <f t="shared" si="13"/>
        <v/>
      </c>
      <c r="L119" s="64" t="str">
        <f t="shared" si="14"/>
        <v/>
      </c>
    </row>
    <row r="120" spans="1:12" x14ac:dyDescent="0.2">
      <c r="A120" s="24"/>
      <c r="B120" s="25"/>
      <c r="C120" s="26"/>
      <c r="D120" s="27"/>
      <c r="E120" s="28" t="str">
        <f t="shared" si="16"/>
        <v/>
      </c>
      <c r="F120" s="29" t="str">
        <f>IF(B120="","",B120-IFERROR(LOOKUP(2,1/(B$6:B119&lt;&gt;""),B$6:B119),76632))</f>
        <v/>
      </c>
      <c r="G120" s="30" t="str">
        <f t="shared" si="17"/>
        <v/>
      </c>
      <c r="H120" s="63" t="str">
        <f t="shared" si="15"/>
        <v/>
      </c>
      <c r="I120" s="31"/>
      <c r="J120" s="64" t="str">
        <f t="shared" si="12"/>
        <v/>
      </c>
      <c r="K120" s="64" t="str">
        <f t="shared" si="13"/>
        <v/>
      </c>
      <c r="L120" s="64" t="str">
        <f t="shared" si="14"/>
        <v/>
      </c>
    </row>
    <row r="121" spans="1:12" x14ac:dyDescent="0.2">
      <c r="A121" s="24"/>
      <c r="B121" s="25"/>
      <c r="C121" s="26"/>
      <c r="D121" s="27"/>
      <c r="E121" s="28" t="str">
        <f t="shared" si="16"/>
        <v/>
      </c>
      <c r="F121" s="29" t="str">
        <f>IF(B121="","",B121-IFERROR(LOOKUP(2,1/(B$6:B120&lt;&gt;""),B$6:B120),76632))</f>
        <v/>
      </c>
      <c r="G121" s="30" t="str">
        <f t="shared" si="17"/>
        <v/>
      </c>
      <c r="H121" s="63" t="str">
        <f t="shared" si="15"/>
        <v/>
      </c>
      <c r="I121" s="31"/>
      <c r="J121" s="64" t="str">
        <f t="shared" si="12"/>
        <v/>
      </c>
      <c r="K121" s="64" t="str">
        <f t="shared" si="13"/>
        <v/>
      </c>
      <c r="L121" s="64" t="str">
        <f t="shared" si="14"/>
        <v/>
      </c>
    </row>
    <row r="122" spans="1:12" x14ac:dyDescent="0.2">
      <c r="A122" s="24"/>
      <c r="B122" s="25"/>
      <c r="C122" s="26"/>
      <c r="D122" s="27"/>
      <c r="E122" s="28" t="str">
        <f t="shared" si="16"/>
        <v/>
      </c>
      <c r="F122" s="29" t="str">
        <f>IF(B122="","",B122-IFERROR(LOOKUP(2,1/(B$6:B121&lt;&gt;""),B$6:B121),76632))</f>
        <v/>
      </c>
      <c r="G122" s="30" t="str">
        <f t="shared" si="17"/>
        <v/>
      </c>
      <c r="H122" s="63" t="str">
        <f t="shared" si="15"/>
        <v/>
      </c>
      <c r="I122" s="31"/>
      <c r="J122" s="64" t="str">
        <f t="shared" si="12"/>
        <v/>
      </c>
      <c r="K122" s="64" t="str">
        <f t="shared" si="13"/>
        <v/>
      </c>
      <c r="L122" s="64" t="str">
        <f t="shared" si="14"/>
        <v/>
      </c>
    </row>
    <row r="123" spans="1:12" x14ac:dyDescent="0.2">
      <c r="A123" s="24"/>
      <c r="B123" s="25"/>
      <c r="C123" s="26"/>
      <c r="D123" s="27"/>
      <c r="E123" s="28" t="str">
        <f t="shared" si="16"/>
        <v/>
      </c>
      <c r="F123" s="29" t="str">
        <f>IF(B123="","",B123-IFERROR(LOOKUP(2,1/(B$6:B122&lt;&gt;""),B$6:B122),76632))</f>
        <v/>
      </c>
      <c r="G123" s="30" t="str">
        <f t="shared" si="17"/>
        <v/>
      </c>
      <c r="H123" s="63" t="str">
        <f t="shared" si="15"/>
        <v/>
      </c>
      <c r="I123" s="31"/>
      <c r="J123" s="64" t="str">
        <f t="shared" si="12"/>
        <v/>
      </c>
      <c r="K123" s="64" t="str">
        <f t="shared" si="13"/>
        <v/>
      </c>
      <c r="L123" s="64" t="str">
        <f t="shared" si="14"/>
        <v/>
      </c>
    </row>
    <row r="124" spans="1:12" x14ac:dyDescent="0.2">
      <c r="A124" s="24"/>
      <c r="B124" s="25"/>
      <c r="C124" s="26"/>
      <c r="D124" s="27"/>
      <c r="E124" s="28" t="str">
        <f t="shared" si="16"/>
        <v/>
      </c>
      <c r="F124" s="29" t="str">
        <f>IF(B124="","",B124-IFERROR(LOOKUP(2,1/(B$6:B123&lt;&gt;""),B$6:B123),76632))</f>
        <v/>
      </c>
      <c r="G124" s="30" t="str">
        <f t="shared" si="17"/>
        <v/>
      </c>
      <c r="H124" s="63" t="str">
        <f t="shared" si="15"/>
        <v/>
      </c>
      <c r="I124" s="31"/>
      <c r="J124" s="64" t="str">
        <f t="shared" si="12"/>
        <v/>
      </c>
      <c r="K124" s="64" t="str">
        <f t="shared" si="13"/>
        <v/>
      </c>
      <c r="L124" s="64" t="str">
        <f t="shared" si="14"/>
        <v/>
      </c>
    </row>
    <row r="125" spans="1:12" x14ac:dyDescent="0.2">
      <c r="A125" s="24"/>
      <c r="B125" s="25"/>
      <c r="C125" s="26"/>
      <c r="D125" s="27"/>
      <c r="E125" s="28" t="str">
        <f t="shared" si="16"/>
        <v/>
      </c>
      <c r="F125" s="29" t="str">
        <f>IF(B125="","",B125-IFERROR(LOOKUP(2,1/(B$6:B124&lt;&gt;""),B$6:B124),76632))</f>
        <v/>
      </c>
      <c r="G125" s="30" t="str">
        <f t="shared" si="17"/>
        <v/>
      </c>
      <c r="H125" s="63" t="str">
        <f t="shared" si="15"/>
        <v/>
      </c>
      <c r="I125" s="31"/>
      <c r="J125" s="64" t="str">
        <f t="shared" si="12"/>
        <v/>
      </c>
      <c r="K125" s="64" t="str">
        <f t="shared" si="13"/>
        <v/>
      </c>
      <c r="L125" s="64" t="str">
        <f t="shared" si="14"/>
        <v/>
      </c>
    </row>
    <row r="126" spans="1:12" x14ac:dyDescent="0.2">
      <c r="A126" s="24"/>
      <c r="B126" s="25"/>
      <c r="C126" s="26"/>
      <c r="D126" s="27"/>
      <c r="E126" s="28" t="str">
        <f t="shared" si="16"/>
        <v/>
      </c>
      <c r="F126" s="29" t="str">
        <f>IF(B126="","",B126-IFERROR(LOOKUP(2,1/(B$6:B125&lt;&gt;""),B$6:B125),76632))</f>
        <v/>
      </c>
      <c r="G126" s="30" t="str">
        <f t="shared" si="17"/>
        <v/>
      </c>
      <c r="H126" s="63" t="str">
        <f t="shared" si="15"/>
        <v/>
      </c>
      <c r="I126" s="31"/>
      <c r="J126" s="64" t="str">
        <f t="shared" si="12"/>
        <v/>
      </c>
      <c r="K126" s="64" t="str">
        <f t="shared" si="13"/>
        <v/>
      </c>
      <c r="L126" s="64" t="str">
        <f t="shared" si="14"/>
        <v/>
      </c>
    </row>
    <row r="127" spans="1:12" x14ac:dyDescent="0.2">
      <c r="A127" s="24"/>
      <c r="B127" s="25"/>
      <c r="C127" s="26"/>
      <c r="D127" s="27"/>
      <c r="E127" s="28" t="str">
        <f t="shared" si="16"/>
        <v/>
      </c>
      <c r="F127" s="29" t="str">
        <f>IF(B127="","",B127-IFERROR(LOOKUP(2,1/(B$6:B126&lt;&gt;""),B$6:B126),76632))</f>
        <v/>
      </c>
      <c r="G127" s="30" t="str">
        <f t="shared" si="17"/>
        <v/>
      </c>
      <c r="H127" s="63" t="str">
        <f t="shared" si="15"/>
        <v/>
      </c>
      <c r="I127" s="31"/>
      <c r="J127" s="64" t="str">
        <f t="shared" si="12"/>
        <v/>
      </c>
      <c r="K127" s="64" t="str">
        <f t="shared" si="13"/>
        <v/>
      </c>
      <c r="L127" s="64" t="str">
        <f t="shared" si="14"/>
        <v/>
      </c>
    </row>
    <row r="128" spans="1:12" x14ac:dyDescent="0.2">
      <c r="A128" s="24"/>
      <c r="B128" s="25"/>
      <c r="C128" s="26"/>
      <c r="D128" s="27"/>
      <c r="E128" s="28" t="str">
        <f t="shared" si="16"/>
        <v/>
      </c>
      <c r="F128" s="29" t="str">
        <f>IF(B128="","",B128-IFERROR(LOOKUP(2,1/(B$6:B127&lt;&gt;""),B$6:B127),76632))</f>
        <v/>
      </c>
      <c r="G128" s="30" t="str">
        <f t="shared" si="17"/>
        <v/>
      </c>
      <c r="H128" s="63" t="str">
        <f t="shared" si="15"/>
        <v/>
      </c>
      <c r="I128" s="31"/>
      <c r="J128" s="64" t="str">
        <f t="shared" si="12"/>
        <v/>
      </c>
      <c r="K128" s="64" t="str">
        <f t="shared" si="13"/>
        <v/>
      </c>
      <c r="L128" s="64" t="str">
        <f t="shared" si="14"/>
        <v/>
      </c>
    </row>
    <row r="129" spans="1:12" x14ac:dyDescent="0.2">
      <c r="A129" s="24"/>
      <c r="B129" s="25"/>
      <c r="C129" s="26"/>
      <c r="D129" s="27"/>
      <c r="E129" s="28" t="str">
        <f t="shared" si="16"/>
        <v/>
      </c>
      <c r="F129" s="29" t="str">
        <f>IF(B129="","",B129-IFERROR(LOOKUP(2,1/(B$6:B128&lt;&gt;""),B$6:B128),76632))</f>
        <v/>
      </c>
      <c r="G129" s="30" t="str">
        <f t="shared" si="17"/>
        <v/>
      </c>
      <c r="H129" s="63" t="str">
        <f t="shared" si="15"/>
        <v/>
      </c>
      <c r="I129" s="31"/>
      <c r="J129" s="64" t="str">
        <f t="shared" si="12"/>
        <v/>
      </c>
      <c r="K129" s="64" t="str">
        <f t="shared" si="13"/>
        <v/>
      </c>
      <c r="L129" s="64" t="str">
        <f t="shared" si="14"/>
        <v/>
      </c>
    </row>
    <row r="130" spans="1:12" x14ac:dyDescent="0.2">
      <c r="A130" s="24"/>
      <c r="B130" s="25"/>
      <c r="C130" s="26"/>
      <c r="D130" s="27"/>
      <c r="E130" s="28" t="str">
        <f t="shared" si="16"/>
        <v/>
      </c>
      <c r="F130" s="29" t="str">
        <f>IF(B130="","",B130-IFERROR(LOOKUP(2,1/(B$6:B129&lt;&gt;""),B$6:B129),76632))</f>
        <v/>
      </c>
      <c r="G130" s="30" t="str">
        <f t="shared" si="17"/>
        <v/>
      </c>
      <c r="H130" s="63" t="str">
        <f t="shared" si="15"/>
        <v/>
      </c>
      <c r="I130" s="31"/>
      <c r="J130" s="64" t="str">
        <f t="shared" si="12"/>
        <v/>
      </c>
      <c r="K130" s="64" t="str">
        <f t="shared" si="13"/>
        <v/>
      </c>
      <c r="L130" s="64" t="str">
        <f t="shared" si="14"/>
        <v/>
      </c>
    </row>
    <row r="131" spans="1:12" x14ac:dyDescent="0.2">
      <c r="A131" s="24"/>
      <c r="B131" s="25"/>
      <c r="C131" s="26"/>
      <c r="D131" s="27"/>
      <c r="E131" s="28" t="str">
        <f t="shared" si="16"/>
        <v/>
      </c>
      <c r="F131" s="29" t="str">
        <f>IF(B131="","",B131-IFERROR(LOOKUP(2,1/(B$6:B130&lt;&gt;""),B$6:B130),76632))</f>
        <v/>
      </c>
      <c r="G131" s="30" t="str">
        <f t="shared" si="17"/>
        <v/>
      </c>
      <c r="H131" s="63" t="str">
        <f t="shared" si="15"/>
        <v/>
      </c>
      <c r="I131" s="31"/>
      <c r="J131" s="64" t="str">
        <f t="shared" si="12"/>
        <v/>
      </c>
      <c r="K131" s="64" t="str">
        <f t="shared" si="13"/>
        <v/>
      </c>
      <c r="L131" s="64" t="str">
        <f t="shared" si="14"/>
        <v/>
      </c>
    </row>
    <row r="132" spans="1:12" x14ac:dyDescent="0.2">
      <c r="A132" s="24"/>
      <c r="B132" s="25"/>
      <c r="C132" s="26"/>
      <c r="D132" s="27"/>
      <c r="E132" s="28" t="str">
        <f t="shared" si="16"/>
        <v/>
      </c>
      <c r="F132" s="29" t="str">
        <f>IF(B132="","",B132-IFERROR(LOOKUP(2,1/(B$6:B131&lt;&gt;""),B$6:B131),76632))</f>
        <v/>
      </c>
      <c r="G132" s="30" t="str">
        <f t="shared" si="17"/>
        <v/>
      </c>
      <c r="H132" s="63" t="str">
        <f t="shared" si="15"/>
        <v/>
      </c>
      <c r="I132" s="31"/>
      <c r="J132" s="64" t="str">
        <f t="shared" si="12"/>
        <v/>
      </c>
      <c r="K132" s="64" t="str">
        <f t="shared" si="13"/>
        <v/>
      </c>
      <c r="L132" s="64" t="str">
        <f t="shared" si="14"/>
        <v/>
      </c>
    </row>
    <row r="133" spans="1:12" x14ac:dyDescent="0.2">
      <c r="A133" s="24"/>
      <c r="B133" s="25"/>
      <c r="C133" s="26"/>
      <c r="D133" s="27"/>
      <c r="E133" s="28" t="str">
        <f t="shared" si="16"/>
        <v/>
      </c>
      <c r="F133" s="29" t="str">
        <f>IF(B133="","",B133-IFERROR(LOOKUP(2,1/(B$6:B132&lt;&gt;""),B$6:B132),76632))</f>
        <v/>
      </c>
      <c r="G133" s="30" t="str">
        <f t="shared" si="17"/>
        <v/>
      </c>
      <c r="H133" s="63" t="str">
        <f t="shared" si="15"/>
        <v/>
      </c>
      <c r="I133" s="31"/>
      <c r="J133" s="64" t="str">
        <f t="shared" si="12"/>
        <v/>
      </c>
      <c r="K133" s="64" t="str">
        <f t="shared" si="13"/>
        <v/>
      </c>
      <c r="L133" s="64" t="str">
        <f t="shared" si="14"/>
        <v/>
      </c>
    </row>
    <row r="134" spans="1:12" x14ac:dyDescent="0.2">
      <c r="A134" s="24"/>
      <c r="B134" s="25"/>
      <c r="C134" s="26"/>
      <c r="D134" s="27"/>
      <c r="E134" s="28" t="str">
        <f t="shared" ref="E134:E165" si="18">IF(OR(C134="",D134=""),"",C134*D134)</f>
        <v/>
      </c>
      <c r="F134" s="29" t="str">
        <f>IF(B134="","",B134-IFERROR(LOOKUP(2,1/(B$6:B133&lt;&gt;""),B$6:B133),76632))</f>
        <v/>
      </c>
      <c r="G134" s="30" t="str">
        <f t="shared" ref="G134:G165" si="19">IF(OR(C134="",F134="",C134=0),"",F134*4.54609/C134)</f>
        <v/>
      </c>
      <c r="H134" s="63" t="str">
        <f t="shared" si="15"/>
        <v/>
      </c>
      <c r="I134" s="31"/>
      <c r="J134" s="64" t="str">
        <f t="shared" si="12"/>
        <v/>
      </c>
      <c r="K134" s="64" t="str">
        <f t="shared" si="13"/>
        <v/>
      </c>
      <c r="L134" s="64" t="str">
        <f t="shared" si="14"/>
        <v/>
      </c>
    </row>
    <row r="135" spans="1:12" x14ac:dyDescent="0.2">
      <c r="A135" s="24"/>
      <c r="B135" s="25"/>
      <c r="C135" s="26"/>
      <c r="D135" s="27"/>
      <c r="E135" s="28" t="str">
        <f t="shared" si="18"/>
        <v/>
      </c>
      <c r="F135" s="29" t="str">
        <f>IF(B135="","",B135-IFERROR(LOOKUP(2,1/(B$6:B134&lt;&gt;""),B$6:B134),76632))</f>
        <v/>
      </c>
      <c r="G135" s="30" t="str">
        <f t="shared" si="19"/>
        <v/>
      </c>
      <c r="H135" s="63" t="str">
        <f t="shared" si="15"/>
        <v/>
      </c>
      <c r="I135" s="31"/>
      <c r="J135" s="64" t="str">
        <f t="shared" ref="J135:J198" si="20">IF(G135="","",ROUND(G135*(61/4.54609),0))</f>
        <v/>
      </c>
      <c r="K135" s="64" t="str">
        <f t="shared" ref="K135:K198" si="21">IF(G135="","",J135/2)</f>
        <v/>
      </c>
      <c r="L135" s="64" t="str">
        <f t="shared" ref="L135:L198" si="22">IF(G135="","",J135/4)</f>
        <v/>
      </c>
    </row>
    <row r="136" spans="1:12" x14ac:dyDescent="0.2">
      <c r="A136" s="24"/>
      <c r="B136" s="25"/>
      <c r="C136" s="26"/>
      <c r="D136" s="27"/>
      <c r="E136" s="28" t="str">
        <f t="shared" si="18"/>
        <v/>
      </c>
      <c r="F136" s="29" t="str">
        <f>IF(B136="","",B136-IFERROR(LOOKUP(2,1/(B$6:B135&lt;&gt;""),B$6:B135),76632))</f>
        <v/>
      </c>
      <c r="G136" s="30" t="str">
        <f t="shared" si="19"/>
        <v/>
      </c>
      <c r="H136" s="63" t="str">
        <f t="shared" si="15"/>
        <v/>
      </c>
      <c r="I136" s="31"/>
      <c r="J136" s="64" t="str">
        <f t="shared" si="20"/>
        <v/>
      </c>
      <c r="K136" s="64" t="str">
        <f t="shared" si="21"/>
        <v/>
      </c>
      <c r="L136" s="64" t="str">
        <f t="shared" si="22"/>
        <v/>
      </c>
    </row>
    <row r="137" spans="1:12" x14ac:dyDescent="0.2">
      <c r="A137" s="24"/>
      <c r="B137" s="25"/>
      <c r="C137" s="26"/>
      <c r="D137" s="27"/>
      <c r="E137" s="28" t="str">
        <f t="shared" si="18"/>
        <v/>
      </c>
      <c r="F137" s="29" t="str">
        <f>IF(B137="","",B137-IFERROR(LOOKUP(2,1/(B$6:B136&lt;&gt;""),B$6:B136),76632))</f>
        <v/>
      </c>
      <c r="G137" s="30" t="str">
        <f t="shared" si="19"/>
        <v/>
      </c>
      <c r="H137" s="63" t="str">
        <f t="shared" si="15"/>
        <v/>
      </c>
      <c r="I137" s="31"/>
      <c r="J137" s="64" t="str">
        <f t="shared" si="20"/>
        <v/>
      </c>
      <c r="K137" s="64" t="str">
        <f t="shared" si="21"/>
        <v/>
      </c>
      <c r="L137" s="64" t="str">
        <f t="shared" si="22"/>
        <v/>
      </c>
    </row>
    <row r="138" spans="1:12" x14ac:dyDescent="0.2">
      <c r="A138" s="24"/>
      <c r="B138" s="25"/>
      <c r="C138" s="26"/>
      <c r="D138" s="27"/>
      <c r="E138" s="28" t="str">
        <f t="shared" si="18"/>
        <v/>
      </c>
      <c r="F138" s="29" t="str">
        <f>IF(B138="","",B138-IFERROR(LOOKUP(2,1/(B$6:B137&lt;&gt;""),B$6:B137),76632))</f>
        <v/>
      </c>
      <c r="G138" s="30" t="str">
        <f t="shared" si="19"/>
        <v/>
      </c>
      <c r="H138" s="63" t="str">
        <f t="shared" ref="H138:H201" si="23">IF(G138="","",282.481/G138)</f>
        <v/>
      </c>
      <c r="I138" s="31"/>
      <c r="J138" s="64" t="str">
        <f t="shared" si="20"/>
        <v/>
      </c>
      <c r="K138" s="64" t="str">
        <f t="shared" si="21"/>
        <v/>
      </c>
      <c r="L138" s="64" t="str">
        <f t="shared" si="22"/>
        <v/>
      </c>
    </row>
    <row r="139" spans="1:12" x14ac:dyDescent="0.2">
      <c r="A139" s="24"/>
      <c r="B139" s="25"/>
      <c r="C139" s="26"/>
      <c r="D139" s="27"/>
      <c r="E139" s="28" t="str">
        <f t="shared" si="18"/>
        <v/>
      </c>
      <c r="F139" s="29" t="str">
        <f>IF(B139="","",B139-IFERROR(LOOKUP(2,1/(B$6:B138&lt;&gt;""),B$6:B138),76632))</f>
        <v/>
      </c>
      <c r="G139" s="30" t="str">
        <f t="shared" si="19"/>
        <v/>
      </c>
      <c r="H139" s="63" t="str">
        <f t="shared" si="23"/>
        <v/>
      </c>
      <c r="I139" s="31"/>
      <c r="J139" s="64" t="str">
        <f t="shared" si="20"/>
        <v/>
      </c>
      <c r="K139" s="64" t="str">
        <f t="shared" si="21"/>
        <v/>
      </c>
      <c r="L139" s="64" t="str">
        <f t="shared" si="22"/>
        <v/>
      </c>
    </row>
    <row r="140" spans="1:12" x14ac:dyDescent="0.2">
      <c r="A140" s="24"/>
      <c r="B140" s="25"/>
      <c r="C140" s="26"/>
      <c r="D140" s="27"/>
      <c r="E140" s="28" t="str">
        <f t="shared" si="18"/>
        <v/>
      </c>
      <c r="F140" s="29" t="str">
        <f>IF(B140="","",B140-IFERROR(LOOKUP(2,1/(B$6:B139&lt;&gt;""),B$6:B139),76632))</f>
        <v/>
      </c>
      <c r="G140" s="30" t="str">
        <f t="shared" si="19"/>
        <v/>
      </c>
      <c r="H140" s="63" t="str">
        <f t="shared" si="23"/>
        <v/>
      </c>
      <c r="I140" s="31"/>
      <c r="J140" s="64" t="str">
        <f t="shared" si="20"/>
        <v/>
      </c>
      <c r="K140" s="64" t="str">
        <f t="shared" si="21"/>
        <v/>
      </c>
      <c r="L140" s="64" t="str">
        <f t="shared" si="22"/>
        <v/>
      </c>
    </row>
    <row r="141" spans="1:12" x14ac:dyDescent="0.2">
      <c r="A141" s="24"/>
      <c r="B141" s="25"/>
      <c r="C141" s="26"/>
      <c r="D141" s="27"/>
      <c r="E141" s="28" t="str">
        <f t="shared" si="18"/>
        <v/>
      </c>
      <c r="F141" s="29" t="str">
        <f>IF(B141="","",B141-IFERROR(LOOKUP(2,1/(B$6:B140&lt;&gt;""),B$6:B140),76632))</f>
        <v/>
      </c>
      <c r="G141" s="30" t="str">
        <f t="shared" si="19"/>
        <v/>
      </c>
      <c r="H141" s="63" t="str">
        <f t="shared" si="23"/>
        <v/>
      </c>
      <c r="I141" s="31"/>
      <c r="J141" s="64" t="str">
        <f t="shared" si="20"/>
        <v/>
      </c>
      <c r="K141" s="64" t="str">
        <f t="shared" si="21"/>
        <v/>
      </c>
      <c r="L141" s="64" t="str">
        <f t="shared" si="22"/>
        <v/>
      </c>
    </row>
    <row r="142" spans="1:12" x14ac:dyDescent="0.2">
      <c r="A142" s="24"/>
      <c r="B142" s="25"/>
      <c r="C142" s="26"/>
      <c r="D142" s="27"/>
      <c r="E142" s="28" t="str">
        <f t="shared" si="18"/>
        <v/>
      </c>
      <c r="F142" s="29" t="str">
        <f>IF(B142="","",B142-IFERROR(LOOKUP(2,1/(B$6:B141&lt;&gt;""),B$6:B141),76632))</f>
        <v/>
      </c>
      <c r="G142" s="30" t="str">
        <f t="shared" si="19"/>
        <v/>
      </c>
      <c r="H142" s="63" t="str">
        <f t="shared" si="23"/>
        <v/>
      </c>
      <c r="I142" s="31"/>
      <c r="J142" s="64" t="str">
        <f t="shared" si="20"/>
        <v/>
      </c>
      <c r="K142" s="64" t="str">
        <f t="shared" si="21"/>
        <v/>
      </c>
      <c r="L142" s="64" t="str">
        <f t="shared" si="22"/>
        <v/>
      </c>
    </row>
    <row r="143" spans="1:12" x14ac:dyDescent="0.2">
      <c r="A143" s="24"/>
      <c r="B143" s="25"/>
      <c r="C143" s="26"/>
      <c r="D143" s="27"/>
      <c r="E143" s="28" t="str">
        <f t="shared" si="18"/>
        <v/>
      </c>
      <c r="F143" s="29" t="str">
        <f>IF(B143="","",B143-IFERROR(LOOKUP(2,1/(B$6:B142&lt;&gt;""),B$6:B142),76632))</f>
        <v/>
      </c>
      <c r="G143" s="30" t="str">
        <f t="shared" si="19"/>
        <v/>
      </c>
      <c r="H143" s="63" t="str">
        <f t="shared" si="23"/>
        <v/>
      </c>
      <c r="I143" s="31"/>
      <c r="J143" s="64" t="str">
        <f t="shared" si="20"/>
        <v/>
      </c>
      <c r="K143" s="64" t="str">
        <f t="shared" si="21"/>
        <v/>
      </c>
      <c r="L143" s="64" t="str">
        <f t="shared" si="22"/>
        <v/>
      </c>
    </row>
    <row r="144" spans="1:12" x14ac:dyDescent="0.2">
      <c r="A144" s="24"/>
      <c r="B144" s="25"/>
      <c r="C144" s="26"/>
      <c r="D144" s="27"/>
      <c r="E144" s="28" t="str">
        <f t="shared" si="18"/>
        <v/>
      </c>
      <c r="F144" s="29" t="str">
        <f>IF(B144="","",B144-IFERROR(LOOKUP(2,1/(B$6:B143&lt;&gt;""),B$6:B143),76632))</f>
        <v/>
      </c>
      <c r="G144" s="30" t="str">
        <f t="shared" si="19"/>
        <v/>
      </c>
      <c r="H144" s="63" t="str">
        <f t="shared" si="23"/>
        <v/>
      </c>
      <c r="I144" s="31"/>
      <c r="J144" s="64" t="str">
        <f t="shared" si="20"/>
        <v/>
      </c>
      <c r="K144" s="64" t="str">
        <f t="shared" si="21"/>
        <v/>
      </c>
      <c r="L144" s="64" t="str">
        <f t="shared" si="22"/>
        <v/>
      </c>
    </row>
    <row r="145" spans="1:12" x14ac:dyDescent="0.2">
      <c r="A145" s="24"/>
      <c r="B145" s="25"/>
      <c r="C145" s="26"/>
      <c r="D145" s="27"/>
      <c r="E145" s="28" t="str">
        <f t="shared" si="18"/>
        <v/>
      </c>
      <c r="F145" s="29" t="str">
        <f>IF(B145="","",B145-IFERROR(LOOKUP(2,1/(B$6:B144&lt;&gt;""),B$6:B144),76632))</f>
        <v/>
      </c>
      <c r="G145" s="30" t="str">
        <f t="shared" si="19"/>
        <v/>
      </c>
      <c r="H145" s="63" t="str">
        <f t="shared" si="23"/>
        <v/>
      </c>
      <c r="I145" s="31"/>
      <c r="J145" s="64" t="str">
        <f t="shared" si="20"/>
        <v/>
      </c>
      <c r="K145" s="64" t="str">
        <f t="shared" si="21"/>
        <v/>
      </c>
      <c r="L145" s="64" t="str">
        <f t="shared" si="22"/>
        <v/>
      </c>
    </row>
    <row r="146" spans="1:12" x14ac:dyDescent="0.2">
      <c r="A146" s="24"/>
      <c r="B146" s="25"/>
      <c r="C146" s="26"/>
      <c r="D146" s="27"/>
      <c r="E146" s="28" t="str">
        <f t="shared" si="18"/>
        <v/>
      </c>
      <c r="F146" s="29" t="str">
        <f>IF(B146="","",B146-IFERROR(LOOKUP(2,1/(B$6:B145&lt;&gt;""),B$6:B145),76632))</f>
        <v/>
      </c>
      <c r="G146" s="30" t="str">
        <f t="shared" si="19"/>
        <v/>
      </c>
      <c r="H146" s="63" t="str">
        <f t="shared" si="23"/>
        <v/>
      </c>
      <c r="I146" s="31"/>
      <c r="J146" s="64" t="str">
        <f t="shared" si="20"/>
        <v/>
      </c>
      <c r="K146" s="64" t="str">
        <f t="shared" si="21"/>
        <v/>
      </c>
      <c r="L146" s="64" t="str">
        <f t="shared" si="22"/>
        <v/>
      </c>
    </row>
    <row r="147" spans="1:12" x14ac:dyDescent="0.2">
      <c r="A147" s="24"/>
      <c r="B147" s="25"/>
      <c r="C147" s="26"/>
      <c r="D147" s="27"/>
      <c r="E147" s="28" t="str">
        <f t="shared" si="18"/>
        <v/>
      </c>
      <c r="F147" s="29" t="str">
        <f>IF(B147="","",B147-IFERROR(LOOKUP(2,1/(B$6:B146&lt;&gt;""),B$6:B146),76632))</f>
        <v/>
      </c>
      <c r="G147" s="30" t="str">
        <f t="shared" si="19"/>
        <v/>
      </c>
      <c r="H147" s="63" t="str">
        <f t="shared" si="23"/>
        <v/>
      </c>
      <c r="I147" s="31"/>
      <c r="J147" s="64" t="str">
        <f t="shared" si="20"/>
        <v/>
      </c>
      <c r="K147" s="64" t="str">
        <f t="shared" si="21"/>
        <v/>
      </c>
      <c r="L147" s="64" t="str">
        <f t="shared" si="22"/>
        <v/>
      </c>
    </row>
    <row r="148" spans="1:12" x14ac:dyDescent="0.2">
      <c r="A148" s="24"/>
      <c r="B148" s="25"/>
      <c r="C148" s="26"/>
      <c r="D148" s="27"/>
      <c r="E148" s="28" t="str">
        <f t="shared" si="18"/>
        <v/>
      </c>
      <c r="F148" s="29" t="str">
        <f>IF(B148="","",B148-IFERROR(LOOKUP(2,1/(B$6:B147&lt;&gt;""),B$6:B147),76632))</f>
        <v/>
      </c>
      <c r="G148" s="30" t="str">
        <f t="shared" si="19"/>
        <v/>
      </c>
      <c r="H148" s="63" t="str">
        <f t="shared" si="23"/>
        <v/>
      </c>
      <c r="I148" s="31"/>
      <c r="J148" s="64" t="str">
        <f t="shared" si="20"/>
        <v/>
      </c>
      <c r="K148" s="64" t="str">
        <f t="shared" si="21"/>
        <v/>
      </c>
      <c r="L148" s="64" t="str">
        <f t="shared" si="22"/>
        <v/>
      </c>
    </row>
    <row r="149" spans="1:12" x14ac:dyDescent="0.2">
      <c r="A149" s="24"/>
      <c r="B149" s="25"/>
      <c r="C149" s="26"/>
      <c r="D149" s="27"/>
      <c r="E149" s="28" t="str">
        <f t="shared" si="18"/>
        <v/>
      </c>
      <c r="F149" s="29" t="str">
        <f>IF(B149="","",B149-IFERROR(LOOKUP(2,1/(B$6:B148&lt;&gt;""),B$6:B148),76632))</f>
        <v/>
      </c>
      <c r="G149" s="30" t="str">
        <f t="shared" si="19"/>
        <v/>
      </c>
      <c r="H149" s="63" t="str">
        <f t="shared" si="23"/>
        <v/>
      </c>
      <c r="I149" s="31"/>
      <c r="J149" s="64" t="str">
        <f t="shared" si="20"/>
        <v/>
      </c>
      <c r="K149" s="64" t="str">
        <f t="shared" si="21"/>
        <v/>
      </c>
      <c r="L149" s="64" t="str">
        <f t="shared" si="22"/>
        <v/>
      </c>
    </row>
    <row r="150" spans="1:12" x14ac:dyDescent="0.2">
      <c r="A150" s="24"/>
      <c r="B150" s="25"/>
      <c r="C150" s="26"/>
      <c r="D150" s="27"/>
      <c r="E150" s="28" t="str">
        <f t="shared" si="18"/>
        <v/>
      </c>
      <c r="F150" s="29" t="str">
        <f>IF(B150="","",B150-IFERROR(LOOKUP(2,1/(B$6:B149&lt;&gt;""),B$6:B149),76632))</f>
        <v/>
      </c>
      <c r="G150" s="30" t="str">
        <f t="shared" si="19"/>
        <v/>
      </c>
      <c r="H150" s="63" t="str">
        <f t="shared" si="23"/>
        <v/>
      </c>
      <c r="I150" s="31"/>
      <c r="J150" s="64" t="str">
        <f t="shared" si="20"/>
        <v/>
      </c>
      <c r="K150" s="64" t="str">
        <f t="shared" si="21"/>
        <v/>
      </c>
      <c r="L150" s="64" t="str">
        <f t="shared" si="22"/>
        <v/>
      </c>
    </row>
    <row r="151" spans="1:12" x14ac:dyDescent="0.2">
      <c r="A151" s="24"/>
      <c r="B151" s="25"/>
      <c r="C151" s="26"/>
      <c r="D151" s="27"/>
      <c r="E151" s="28" t="str">
        <f t="shared" si="18"/>
        <v/>
      </c>
      <c r="F151" s="29" t="str">
        <f>IF(B151="","",B151-IFERROR(LOOKUP(2,1/(B$6:B150&lt;&gt;""),B$6:B150),76632))</f>
        <v/>
      </c>
      <c r="G151" s="30" t="str">
        <f t="shared" si="19"/>
        <v/>
      </c>
      <c r="H151" s="63" t="str">
        <f t="shared" si="23"/>
        <v/>
      </c>
      <c r="I151" s="31"/>
      <c r="J151" s="64" t="str">
        <f t="shared" si="20"/>
        <v/>
      </c>
      <c r="K151" s="64" t="str">
        <f t="shared" si="21"/>
        <v/>
      </c>
      <c r="L151" s="64" t="str">
        <f t="shared" si="22"/>
        <v/>
      </c>
    </row>
    <row r="152" spans="1:12" x14ac:dyDescent="0.2">
      <c r="A152" s="24"/>
      <c r="B152" s="25"/>
      <c r="C152" s="26"/>
      <c r="D152" s="27"/>
      <c r="E152" s="28" t="str">
        <f t="shared" si="18"/>
        <v/>
      </c>
      <c r="F152" s="29" t="str">
        <f>IF(B152="","",B152-IFERROR(LOOKUP(2,1/(B$6:B151&lt;&gt;""),B$6:B151),76632))</f>
        <v/>
      </c>
      <c r="G152" s="30" t="str">
        <f t="shared" si="19"/>
        <v/>
      </c>
      <c r="H152" s="63" t="str">
        <f t="shared" si="23"/>
        <v/>
      </c>
      <c r="I152" s="31"/>
      <c r="J152" s="64" t="str">
        <f t="shared" si="20"/>
        <v/>
      </c>
      <c r="K152" s="64" t="str">
        <f t="shared" si="21"/>
        <v/>
      </c>
      <c r="L152" s="64" t="str">
        <f t="shared" si="22"/>
        <v/>
      </c>
    </row>
    <row r="153" spans="1:12" x14ac:dyDescent="0.2">
      <c r="A153" s="24"/>
      <c r="B153" s="25"/>
      <c r="C153" s="26"/>
      <c r="D153" s="27"/>
      <c r="E153" s="28" t="str">
        <f t="shared" si="18"/>
        <v/>
      </c>
      <c r="F153" s="29" t="str">
        <f>IF(B153="","",B153-IFERROR(LOOKUP(2,1/(B$6:B152&lt;&gt;""),B$6:B152),76632))</f>
        <v/>
      </c>
      <c r="G153" s="30" t="str">
        <f t="shared" si="19"/>
        <v/>
      </c>
      <c r="H153" s="63" t="str">
        <f t="shared" si="23"/>
        <v/>
      </c>
      <c r="I153" s="31"/>
      <c r="J153" s="64" t="str">
        <f t="shared" si="20"/>
        <v/>
      </c>
      <c r="K153" s="64" t="str">
        <f t="shared" si="21"/>
        <v/>
      </c>
      <c r="L153" s="64" t="str">
        <f t="shared" si="22"/>
        <v/>
      </c>
    </row>
    <row r="154" spans="1:12" x14ac:dyDescent="0.2">
      <c r="A154" s="24"/>
      <c r="B154" s="25"/>
      <c r="C154" s="26"/>
      <c r="D154" s="27"/>
      <c r="E154" s="28" t="str">
        <f t="shared" si="18"/>
        <v/>
      </c>
      <c r="F154" s="29" t="str">
        <f>IF(B154="","",B154-IFERROR(LOOKUP(2,1/(B$6:B153&lt;&gt;""),B$6:B153),76632))</f>
        <v/>
      </c>
      <c r="G154" s="30" t="str">
        <f t="shared" si="19"/>
        <v/>
      </c>
      <c r="H154" s="63" t="str">
        <f t="shared" si="23"/>
        <v/>
      </c>
      <c r="I154" s="31"/>
      <c r="J154" s="64" t="str">
        <f t="shared" si="20"/>
        <v/>
      </c>
      <c r="K154" s="64" t="str">
        <f t="shared" si="21"/>
        <v/>
      </c>
      <c r="L154" s="64" t="str">
        <f t="shared" si="22"/>
        <v/>
      </c>
    </row>
    <row r="155" spans="1:12" x14ac:dyDescent="0.2">
      <c r="A155" s="24"/>
      <c r="B155" s="25"/>
      <c r="C155" s="26"/>
      <c r="D155" s="27"/>
      <c r="E155" s="28" t="str">
        <f t="shared" si="18"/>
        <v/>
      </c>
      <c r="F155" s="29" t="str">
        <f>IF(B155="","",B155-IFERROR(LOOKUP(2,1/(B$6:B154&lt;&gt;""),B$6:B154),76632))</f>
        <v/>
      </c>
      <c r="G155" s="30" t="str">
        <f t="shared" si="19"/>
        <v/>
      </c>
      <c r="H155" s="63" t="str">
        <f t="shared" si="23"/>
        <v/>
      </c>
      <c r="I155" s="31"/>
      <c r="J155" s="64" t="str">
        <f t="shared" si="20"/>
        <v/>
      </c>
      <c r="K155" s="64" t="str">
        <f t="shared" si="21"/>
        <v/>
      </c>
      <c r="L155" s="64" t="str">
        <f t="shared" si="22"/>
        <v/>
      </c>
    </row>
    <row r="156" spans="1:12" x14ac:dyDescent="0.2">
      <c r="A156" s="24"/>
      <c r="B156" s="25"/>
      <c r="C156" s="26"/>
      <c r="D156" s="27"/>
      <c r="E156" s="28" t="str">
        <f t="shared" si="18"/>
        <v/>
      </c>
      <c r="F156" s="29" t="str">
        <f>IF(B156="","",B156-IFERROR(LOOKUP(2,1/(B$6:B155&lt;&gt;""),B$6:B155),76632))</f>
        <v/>
      </c>
      <c r="G156" s="30" t="str">
        <f t="shared" si="19"/>
        <v/>
      </c>
      <c r="H156" s="63" t="str">
        <f t="shared" si="23"/>
        <v/>
      </c>
      <c r="I156" s="31"/>
      <c r="J156" s="64" t="str">
        <f t="shared" si="20"/>
        <v/>
      </c>
      <c r="K156" s="64" t="str">
        <f t="shared" si="21"/>
        <v/>
      </c>
      <c r="L156" s="64" t="str">
        <f t="shared" si="22"/>
        <v/>
      </c>
    </row>
    <row r="157" spans="1:12" x14ac:dyDescent="0.2">
      <c r="A157" s="24"/>
      <c r="B157" s="25"/>
      <c r="C157" s="26"/>
      <c r="D157" s="27"/>
      <c r="E157" s="28" t="str">
        <f t="shared" si="18"/>
        <v/>
      </c>
      <c r="F157" s="29" t="str">
        <f>IF(B157="","",B157-IFERROR(LOOKUP(2,1/(B$6:B156&lt;&gt;""),B$6:B156),76632))</f>
        <v/>
      </c>
      <c r="G157" s="30" t="str">
        <f t="shared" si="19"/>
        <v/>
      </c>
      <c r="H157" s="63" t="str">
        <f t="shared" si="23"/>
        <v/>
      </c>
      <c r="I157" s="31"/>
      <c r="J157" s="64" t="str">
        <f t="shared" si="20"/>
        <v/>
      </c>
      <c r="K157" s="64" t="str">
        <f t="shared" si="21"/>
        <v/>
      </c>
      <c r="L157" s="64" t="str">
        <f t="shared" si="22"/>
        <v/>
      </c>
    </row>
    <row r="158" spans="1:12" x14ac:dyDescent="0.2">
      <c r="A158" s="24"/>
      <c r="B158" s="25"/>
      <c r="C158" s="26"/>
      <c r="D158" s="27"/>
      <c r="E158" s="28" t="str">
        <f t="shared" si="18"/>
        <v/>
      </c>
      <c r="F158" s="29" t="str">
        <f>IF(B158="","",B158-IFERROR(LOOKUP(2,1/(B$6:B157&lt;&gt;""),B$6:B157),76632))</f>
        <v/>
      </c>
      <c r="G158" s="30" t="str">
        <f t="shared" si="19"/>
        <v/>
      </c>
      <c r="H158" s="63" t="str">
        <f t="shared" si="23"/>
        <v/>
      </c>
      <c r="I158" s="31"/>
      <c r="J158" s="64" t="str">
        <f t="shared" si="20"/>
        <v/>
      </c>
      <c r="K158" s="64" t="str">
        <f t="shared" si="21"/>
        <v/>
      </c>
      <c r="L158" s="64" t="str">
        <f t="shared" si="22"/>
        <v/>
      </c>
    </row>
    <row r="159" spans="1:12" x14ac:dyDescent="0.2">
      <c r="A159" s="24"/>
      <c r="B159" s="25"/>
      <c r="C159" s="26"/>
      <c r="D159" s="27"/>
      <c r="E159" s="28" t="str">
        <f t="shared" si="18"/>
        <v/>
      </c>
      <c r="F159" s="29" t="str">
        <f>IF(B159="","",B159-IFERROR(LOOKUP(2,1/(B$6:B158&lt;&gt;""),B$6:B158),76632))</f>
        <v/>
      </c>
      <c r="G159" s="30" t="str">
        <f t="shared" si="19"/>
        <v/>
      </c>
      <c r="H159" s="63" t="str">
        <f t="shared" si="23"/>
        <v/>
      </c>
      <c r="I159" s="31"/>
      <c r="J159" s="64" t="str">
        <f t="shared" si="20"/>
        <v/>
      </c>
      <c r="K159" s="64" t="str">
        <f t="shared" si="21"/>
        <v/>
      </c>
      <c r="L159" s="64" t="str">
        <f t="shared" si="22"/>
        <v/>
      </c>
    </row>
    <row r="160" spans="1:12" x14ac:dyDescent="0.2">
      <c r="A160" s="24"/>
      <c r="B160" s="25"/>
      <c r="C160" s="26"/>
      <c r="D160" s="27"/>
      <c r="E160" s="28" t="str">
        <f t="shared" si="18"/>
        <v/>
      </c>
      <c r="F160" s="29" t="str">
        <f>IF(B160="","",B160-IFERROR(LOOKUP(2,1/(B$6:B159&lt;&gt;""),B$6:B159),76632))</f>
        <v/>
      </c>
      <c r="G160" s="30" t="str">
        <f t="shared" si="19"/>
        <v/>
      </c>
      <c r="H160" s="63" t="str">
        <f t="shared" si="23"/>
        <v/>
      </c>
      <c r="I160" s="31"/>
      <c r="J160" s="64" t="str">
        <f t="shared" si="20"/>
        <v/>
      </c>
      <c r="K160" s="64" t="str">
        <f t="shared" si="21"/>
        <v/>
      </c>
      <c r="L160" s="64" t="str">
        <f t="shared" si="22"/>
        <v/>
      </c>
    </row>
    <row r="161" spans="1:12" x14ac:dyDescent="0.2">
      <c r="A161" s="24"/>
      <c r="B161" s="25"/>
      <c r="C161" s="26"/>
      <c r="D161" s="27"/>
      <c r="E161" s="28" t="str">
        <f t="shared" si="18"/>
        <v/>
      </c>
      <c r="F161" s="29" t="str">
        <f>IF(B161="","",B161-IFERROR(LOOKUP(2,1/(B$6:B160&lt;&gt;""),B$6:B160),76632))</f>
        <v/>
      </c>
      <c r="G161" s="30" t="str">
        <f t="shared" si="19"/>
        <v/>
      </c>
      <c r="H161" s="63" t="str">
        <f t="shared" si="23"/>
        <v/>
      </c>
      <c r="I161" s="31"/>
      <c r="J161" s="64" t="str">
        <f t="shared" si="20"/>
        <v/>
      </c>
      <c r="K161" s="64" t="str">
        <f t="shared" si="21"/>
        <v/>
      </c>
      <c r="L161" s="64" t="str">
        <f t="shared" si="22"/>
        <v/>
      </c>
    </row>
    <row r="162" spans="1:12" x14ac:dyDescent="0.2">
      <c r="A162" s="24"/>
      <c r="B162" s="25"/>
      <c r="C162" s="26"/>
      <c r="D162" s="27"/>
      <c r="E162" s="28" t="str">
        <f t="shared" si="18"/>
        <v/>
      </c>
      <c r="F162" s="29" t="str">
        <f>IF(B162="","",B162-IFERROR(LOOKUP(2,1/(B$6:B161&lt;&gt;""),B$6:B161),76632))</f>
        <v/>
      </c>
      <c r="G162" s="30" t="str">
        <f t="shared" si="19"/>
        <v/>
      </c>
      <c r="H162" s="63" t="str">
        <f t="shared" si="23"/>
        <v/>
      </c>
      <c r="I162" s="31"/>
      <c r="J162" s="64" t="str">
        <f t="shared" si="20"/>
        <v/>
      </c>
      <c r="K162" s="64" t="str">
        <f t="shared" si="21"/>
        <v/>
      </c>
      <c r="L162" s="64" t="str">
        <f t="shared" si="22"/>
        <v/>
      </c>
    </row>
    <row r="163" spans="1:12" x14ac:dyDescent="0.2">
      <c r="A163" s="24"/>
      <c r="B163" s="25"/>
      <c r="C163" s="26"/>
      <c r="D163" s="27"/>
      <c r="E163" s="28" t="str">
        <f t="shared" si="18"/>
        <v/>
      </c>
      <c r="F163" s="29" t="str">
        <f>IF(B163="","",B163-IFERROR(LOOKUP(2,1/(B$6:B162&lt;&gt;""),B$6:B162),76632))</f>
        <v/>
      </c>
      <c r="G163" s="30" t="str">
        <f t="shared" si="19"/>
        <v/>
      </c>
      <c r="H163" s="63" t="str">
        <f t="shared" si="23"/>
        <v/>
      </c>
      <c r="I163" s="31"/>
      <c r="J163" s="64" t="str">
        <f t="shared" si="20"/>
        <v/>
      </c>
      <c r="K163" s="64" t="str">
        <f t="shared" si="21"/>
        <v/>
      </c>
      <c r="L163" s="64" t="str">
        <f t="shared" si="22"/>
        <v/>
      </c>
    </row>
    <row r="164" spans="1:12" x14ac:dyDescent="0.2">
      <c r="A164" s="24"/>
      <c r="B164" s="25"/>
      <c r="C164" s="26"/>
      <c r="D164" s="27"/>
      <c r="E164" s="28" t="str">
        <f t="shared" si="18"/>
        <v/>
      </c>
      <c r="F164" s="29" t="str">
        <f>IF(B164="","",B164-IFERROR(LOOKUP(2,1/(B$6:B163&lt;&gt;""),B$6:B163),76632))</f>
        <v/>
      </c>
      <c r="G164" s="30" t="str">
        <f t="shared" si="19"/>
        <v/>
      </c>
      <c r="H164" s="63" t="str">
        <f t="shared" si="23"/>
        <v/>
      </c>
      <c r="I164" s="31"/>
      <c r="J164" s="64" t="str">
        <f t="shared" si="20"/>
        <v/>
      </c>
      <c r="K164" s="64" t="str">
        <f t="shared" si="21"/>
        <v/>
      </c>
      <c r="L164" s="64" t="str">
        <f t="shared" si="22"/>
        <v/>
      </c>
    </row>
    <row r="165" spans="1:12" x14ac:dyDescent="0.2">
      <c r="A165" s="24"/>
      <c r="B165" s="25"/>
      <c r="C165" s="26"/>
      <c r="D165" s="27"/>
      <c r="E165" s="28" t="str">
        <f t="shared" si="18"/>
        <v/>
      </c>
      <c r="F165" s="29" t="str">
        <f>IF(B165="","",B165-IFERROR(LOOKUP(2,1/(B$6:B164&lt;&gt;""),B$6:B164),76632))</f>
        <v/>
      </c>
      <c r="G165" s="30" t="str">
        <f t="shared" si="19"/>
        <v/>
      </c>
      <c r="H165" s="63" t="str">
        <f t="shared" si="23"/>
        <v/>
      </c>
      <c r="I165" s="31"/>
      <c r="J165" s="64" t="str">
        <f t="shared" si="20"/>
        <v/>
      </c>
      <c r="K165" s="64" t="str">
        <f t="shared" si="21"/>
        <v/>
      </c>
      <c r="L165" s="64" t="str">
        <f t="shared" si="22"/>
        <v/>
      </c>
    </row>
    <row r="166" spans="1:12" x14ac:dyDescent="0.2">
      <c r="A166" s="24"/>
      <c r="B166" s="25"/>
      <c r="C166" s="26"/>
      <c r="D166" s="27"/>
      <c r="E166" s="28" t="str">
        <f t="shared" ref="E166:E197" si="24">IF(OR(C166="",D166=""),"",C166*D166)</f>
        <v/>
      </c>
      <c r="F166" s="29" t="str">
        <f>IF(B166="","",B166-IFERROR(LOOKUP(2,1/(B$6:B165&lt;&gt;""),B$6:B165),76632))</f>
        <v/>
      </c>
      <c r="G166" s="30" t="str">
        <f t="shared" ref="G166:G197" si="25">IF(OR(C166="",F166="",C166=0),"",F166*4.54609/C166)</f>
        <v/>
      </c>
      <c r="H166" s="63" t="str">
        <f t="shared" si="23"/>
        <v/>
      </c>
      <c r="I166" s="31"/>
      <c r="J166" s="64" t="str">
        <f t="shared" si="20"/>
        <v/>
      </c>
      <c r="K166" s="64" t="str">
        <f t="shared" si="21"/>
        <v/>
      </c>
      <c r="L166" s="64" t="str">
        <f t="shared" si="22"/>
        <v/>
      </c>
    </row>
    <row r="167" spans="1:12" x14ac:dyDescent="0.2">
      <c r="A167" s="24"/>
      <c r="B167" s="25"/>
      <c r="C167" s="26"/>
      <c r="D167" s="27"/>
      <c r="E167" s="28" t="str">
        <f t="shared" si="24"/>
        <v/>
      </c>
      <c r="F167" s="29" t="str">
        <f>IF(B167="","",B167-IFERROR(LOOKUP(2,1/(B$6:B166&lt;&gt;""),B$6:B166),76632))</f>
        <v/>
      </c>
      <c r="G167" s="30" t="str">
        <f t="shared" si="25"/>
        <v/>
      </c>
      <c r="H167" s="63" t="str">
        <f t="shared" si="23"/>
        <v/>
      </c>
      <c r="I167" s="31"/>
      <c r="J167" s="64" t="str">
        <f t="shared" si="20"/>
        <v/>
      </c>
      <c r="K167" s="64" t="str">
        <f t="shared" si="21"/>
        <v/>
      </c>
      <c r="L167" s="64" t="str">
        <f t="shared" si="22"/>
        <v/>
      </c>
    </row>
    <row r="168" spans="1:12" x14ac:dyDescent="0.2">
      <c r="A168" s="24"/>
      <c r="B168" s="25"/>
      <c r="C168" s="26"/>
      <c r="D168" s="27"/>
      <c r="E168" s="28" t="str">
        <f t="shared" si="24"/>
        <v/>
      </c>
      <c r="F168" s="29" t="str">
        <f>IF(B168="","",B168-IFERROR(LOOKUP(2,1/(B$6:B167&lt;&gt;""),B$6:B167),76632))</f>
        <v/>
      </c>
      <c r="G168" s="30" t="str">
        <f t="shared" si="25"/>
        <v/>
      </c>
      <c r="H168" s="63" t="str">
        <f t="shared" si="23"/>
        <v/>
      </c>
      <c r="I168" s="31"/>
      <c r="J168" s="64" t="str">
        <f t="shared" si="20"/>
        <v/>
      </c>
      <c r="K168" s="64" t="str">
        <f t="shared" si="21"/>
        <v/>
      </c>
      <c r="L168" s="64" t="str">
        <f t="shared" si="22"/>
        <v/>
      </c>
    </row>
    <row r="169" spans="1:12" x14ac:dyDescent="0.2">
      <c r="A169" s="24"/>
      <c r="B169" s="25"/>
      <c r="C169" s="26"/>
      <c r="D169" s="27"/>
      <c r="E169" s="28" t="str">
        <f t="shared" si="24"/>
        <v/>
      </c>
      <c r="F169" s="29" t="str">
        <f>IF(B169="","",B169-IFERROR(LOOKUP(2,1/(B$6:B168&lt;&gt;""),B$6:B168),76632))</f>
        <v/>
      </c>
      <c r="G169" s="30" t="str">
        <f t="shared" si="25"/>
        <v/>
      </c>
      <c r="H169" s="63" t="str">
        <f t="shared" si="23"/>
        <v/>
      </c>
      <c r="I169" s="31"/>
      <c r="J169" s="64" t="str">
        <f t="shared" si="20"/>
        <v/>
      </c>
      <c r="K169" s="64" t="str">
        <f t="shared" si="21"/>
        <v/>
      </c>
      <c r="L169" s="64" t="str">
        <f t="shared" si="22"/>
        <v/>
      </c>
    </row>
    <row r="170" spans="1:12" x14ac:dyDescent="0.2">
      <c r="A170" s="24"/>
      <c r="B170" s="25"/>
      <c r="C170" s="26"/>
      <c r="D170" s="27"/>
      <c r="E170" s="28" t="str">
        <f t="shared" si="24"/>
        <v/>
      </c>
      <c r="F170" s="29" t="str">
        <f>IF(B170="","",B170-IFERROR(LOOKUP(2,1/(B$6:B169&lt;&gt;""),B$6:B169),76632))</f>
        <v/>
      </c>
      <c r="G170" s="30" t="str">
        <f t="shared" si="25"/>
        <v/>
      </c>
      <c r="H170" s="63" t="str">
        <f t="shared" si="23"/>
        <v/>
      </c>
      <c r="I170" s="31"/>
      <c r="J170" s="64" t="str">
        <f t="shared" si="20"/>
        <v/>
      </c>
      <c r="K170" s="64" t="str">
        <f t="shared" si="21"/>
        <v/>
      </c>
      <c r="L170" s="64" t="str">
        <f t="shared" si="22"/>
        <v/>
      </c>
    </row>
    <row r="171" spans="1:12" x14ac:dyDescent="0.2">
      <c r="A171" s="24"/>
      <c r="B171" s="25"/>
      <c r="C171" s="26"/>
      <c r="D171" s="27"/>
      <c r="E171" s="28" t="str">
        <f t="shared" si="24"/>
        <v/>
      </c>
      <c r="F171" s="29" t="str">
        <f>IF(B171="","",B171-IFERROR(LOOKUP(2,1/(B$6:B170&lt;&gt;""),B$6:B170),76632))</f>
        <v/>
      </c>
      <c r="G171" s="30" t="str">
        <f t="shared" si="25"/>
        <v/>
      </c>
      <c r="H171" s="63" t="str">
        <f t="shared" si="23"/>
        <v/>
      </c>
      <c r="I171" s="31"/>
      <c r="J171" s="64" t="str">
        <f t="shared" si="20"/>
        <v/>
      </c>
      <c r="K171" s="64" t="str">
        <f t="shared" si="21"/>
        <v/>
      </c>
      <c r="L171" s="64" t="str">
        <f t="shared" si="22"/>
        <v/>
      </c>
    </row>
    <row r="172" spans="1:12" x14ac:dyDescent="0.2">
      <c r="A172" s="24"/>
      <c r="B172" s="25"/>
      <c r="C172" s="26"/>
      <c r="D172" s="27"/>
      <c r="E172" s="28" t="str">
        <f t="shared" si="24"/>
        <v/>
      </c>
      <c r="F172" s="29" t="str">
        <f>IF(B172="","",B172-IFERROR(LOOKUP(2,1/(B$6:B171&lt;&gt;""),B$6:B171),76632))</f>
        <v/>
      </c>
      <c r="G172" s="30" t="str">
        <f t="shared" si="25"/>
        <v/>
      </c>
      <c r="H172" s="63" t="str">
        <f t="shared" si="23"/>
        <v/>
      </c>
      <c r="I172" s="31"/>
      <c r="J172" s="64" t="str">
        <f t="shared" si="20"/>
        <v/>
      </c>
      <c r="K172" s="64" t="str">
        <f t="shared" si="21"/>
        <v/>
      </c>
      <c r="L172" s="64" t="str">
        <f t="shared" si="22"/>
        <v/>
      </c>
    </row>
    <row r="173" spans="1:12" x14ac:dyDescent="0.2">
      <c r="A173" s="24"/>
      <c r="B173" s="25"/>
      <c r="C173" s="26"/>
      <c r="D173" s="27"/>
      <c r="E173" s="28" t="str">
        <f t="shared" si="24"/>
        <v/>
      </c>
      <c r="F173" s="29" t="str">
        <f>IF(B173="","",B173-IFERROR(LOOKUP(2,1/(B$6:B172&lt;&gt;""),B$6:B172),76632))</f>
        <v/>
      </c>
      <c r="G173" s="30" t="str">
        <f t="shared" si="25"/>
        <v/>
      </c>
      <c r="H173" s="63" t="str">
        <f t="shared" si="23"/>
        <v/>
      </c>
      <c r="I173" s="31"/>
      <c r="J173" s="64" t="str">
        <f t="shared" si="20"/>
        <v/>
      </c>
      <c r="K173" s="64" t="str">
        <f t="shared" si="21"/>
        <v/>
      </c>
      <c r="L173" s="64" t="str">
        <f t="shared" si="22"/>
        <v/>
      </c>
    </row>
    <row r="174" spans="1:12" x14ac:dyDescent="0.2">
      <c r="A174" s="24"/>
      <c r="B174" s="25"/>
      <c r="C174" s="26"/>
      <c r="D174" s="27"/>
      <c r="E174" s="28" t="str">
        <f t="shared" si="24"/>
        <v/>
      </c>
      <c r="F174" s="29" t="str">
        <f>IF(B174="","",B174-IFERROR(LOOKUP(2,1/(B$6:B173&lt;&gt;""),B$6:B173),76632))</f>
        <v/>
      </c>
      <c r="G174" s="30" t="str">
        <f t="shared" si="25"/>
        <v/>
      </c>
      <c r="H174" s="63" t="str">
        <f t="shared" si="23"/>
        <v/>
      </c>
      <c r="I174" s="31"/>
      <c r="J174" s="64" t="str">
        <f t="shared" si="20"/>
        <v/>
      </c>
      <c r="K174" s="64" t="str">
        <f t="shared" si="21"/>
        <v/>
      </c>
      <c r="L174" s="64" t="str">
        <f t="shared" si="22"/>
        <v/>
      </c>
    </row>
    <row r="175" spans="1:12" x14ac:dyDescent="0.2">
      <c r="A175" s="24"/>
      <c r="B175" s="25"/>
      <c r="C175" s="26"/>
      <c r="D175" s="27"/>
      <c r="E175" s="28" t="str">
        <f t="shared" si="24"/>
        <v/>
      </c>
      <c r="F175" s="29" t="str">
        <f>IF(B175="","",B175-IFERROR(LOOKUP(2,1/(B$6:B174&lt;&gt;""),B$6:B174),76632))</f>
        <v/>
      </c>
      <c r="G175" s="30" t="str">
        <f t="shared" si="25"/>
        <v/>
      </c>
      <c r="H175" s="63" t="str">
        <f t="shared" si="23"/>
        <v/>
      </c>
      <c r="I175" s="31"/>
      <c r="J175" s="64" t="str">
        <f t="shared" si="20"/>
        <v/>
      </c>
      <c r="K175" s="64" t="str">
        <f t="shared" si="21"/>
        <v/>
      </c>
      <c r="L175" s="64" t="str">
        <f t="shared" si="22"/>
        <v/>
      </c>
    </row>
    <row r="176" spans="1:12" x14ac:dyDescent="0.2">
      <c r="A176" s="24"/>
      <c r="B176" s="25"/>
      <c r="C176" s="26"/>
      <c r="D176" s="27"/>
      <c r="E176" s="28" t="str">
        <f t="shared" si="24"/>
        <v/>
      </c>
      <c r="F176" s="29" t="str">
        <f>IF(B176="","",B176-IFERROR(LOOKUP(2,1/(B$6:B175&lt;&gt;""),B$6:B175),76632))</f>
        <v/>
      </c>
      <c r="G176" s="30" t="str">
        <f t="shared" si="25"/>
        <v/>
      </c>
      <c r="H176" s="63" t="str">
        <f t="shared" si="23"/>
        <v/>
      </c>
      <c r="I176" s="31"/>
      <c r="J176" s="64" t="str">
        <f t="shared" si="20"/>
        <v/>
      </c>
      <c r="K176" s="64" t="str">
        <f t="shared" si="21"/>
        <v/>
      </c>
      <c r="L176" s="64" t="str">
        <f t="shared" si="22"/>
        <v/>
      </c>
    </row>
    <row r="177" spans="1:12" x14ac:dyDescent="0.2">
      <c r="A177" s="24"/>
      <c r="B177" s="25"/>
      <c r="C177" s="26"/>
      <c r="D177" s="27"/>
      <c r="E177" s="28" t="str">
        <f t="shared" si="24"/>
        <v/>
      </c>
      <c r="F177" s="29" t="str">
        <f>IF(B177="","",B177-IFERROR(LOOKUP(2,1/(B$6:B176&lt;&gt;""),B$6:B176),76632))</f>
        <v/>
      </c>
      <c r="G177" s="30" t="str">
        <f t="shared" si="25"/>
        <v/>
      </c>
      <c r="H177" s="63" t="str">
        <f t="shared" si="23"/>
        <v/>
      </c>
      <c r="I177" s="31"/>
      <c r="J177" s="64" t="str">
        <f t="shared" si="20"/>
        <v/>
      </c>
      <c r="K177" s="64" t="str">
        <f t="shared" si="21"/>
        <v/>
      </c>
      <c r="L177" s="64" t="str">
        <f t="shared" si="22"/>
        <v/>
      </c>
    </row>
    <row r="178" spans="1:12" x14ac:dyDescent="0.2">
      <c r="A178" s="24"/>
      <c r="B178" s="25"/>
      <c r="C178" s="26"/>
      <c r="D178" s="27"/>
      <c r="E178" s="28" t="str">
        <f t="shared" si="24"/>
        <v/>
      </c>
      <c r="F178" s="29" t="str">
        <f>IF(B178="","",B178-IFERROR(LOOKUP(2,1/(B$6:B177&lt;&gt;""),B$6:B177),76632))</f>
        <v/>
      </c>
      <c r="G178" s="30" t="str">
        <f t="shared" si="25"/>
        <v/>
      </c>
      <c r="H178" s="63" t="str">
        <f t="shared" si="23"/>
        <v/>
      </c>
      <c r="I178" s="31"/>
      <c r="J178" s="64" t="str">
        <f t="shared" si="20"/>
        <v/>
      </c>
      <c r="K178" s="64" t="str">
        <f t="shared" si="21"/>
        <v/>
      </c>
      <c r="L178" s="64" t="str">
        <f t="shared" si="22"/>
        <v/>
      </c>
    </row>
    <row r="179" spans="1:12" x14ac:dyDescent="0.2">
      <c r="A179" s="24"/>
      <c r="B179" s="25"/>
      <c r="C179" s="26"/>
      <c r="D179" s="27"/>
      <c r="E179" s="28" t="str">
        <f t="shared" si="24"/>
        <v/>
      </c>
      <c r="F179" s="29" t="str">
        <f>IF(B179="","",B179-IFERROR(LOOKUP(2,1/(B$6:B178&lt;&gt;""),B$6:B178),76632))</f>
        <v/>
      </c>
      <c r="G179" s="30" t="str">
        <f t="shared" si="25"/>
        <v/>
      </c>
      <c r="H179" s="63" t="str">
        <f t="shared" si="23"/>
        <v/>
      </c>
      <c r="I179" s="31"/>
      <c r="J179" s="64" t="str">
        <f t="shared" si="20"/>
        <v/>
      </c>
      <c r="K179" s="64" t="str">
        <f t="shared" si="21"/>
        <v/>
      </c>
      <c r="L179" s="64" t="str">
        <f t="shared" si="22"/>
        <v/>
      </c>
    </row>
    <row r="180" spans="1:12" x14ac:dyDescent="0.2">
      <c r="A180" s="24"/>
      <c r="B180" s="25"/>
      <c r="C180" s="26"/>
      <c r="D180" s="27"/>
      <c r="E180" s="28" t="str">
        <f t="shared" si="24"/>
        <v/>
      </c>
      <c r="F180" s="29" t="str">
        <f>IF(B180="","",B180-IFERROR(LOOKUP(2,1/(B$6:B179&lt;&gt;""),B$6:B179),76632))</f>
        <v/>
      </c>
      <c r="G180" s="30" t="str">
        <f t="shared" si="25"/>
        <v/>
      </c>
      <c r="H180" s="63" t="str">
        <f t="shared" si="23"/>
        <v/>
      </c>
      <c r="I180" s="31"/>
      <c r="J180" s="64" t="str">
        <f t="shared" si="20"/>
        <v/>
      </c>
      <c r="K180" s="64" t="str">
        <f t="shared" si="21"/>
        <v/>
      </c>
      <c r="L180" s="64" t="str">
        <f t="shared" si="22"/>
        <v/>
      </c>
    </row>
    <row r="181" spans="1:12" x14ac:dyDescent="0.2">
      <c r="A181" s="24"/>
      <c r="B181" s="25"/>
      <c r="C181" s="26"/>
      <c r="D181" s="27"/>
      <c r="E181" s="28" t="str">
        <f t="shared" si="24"/>
        <v/>
      </c>
      <c r="F181" s="29" t="str">
        <f>IF(B181="","",B181-IFERROR(LOOKUP(2,1/(B$6:B180&lt;&gt;""),B$6:B180),76632))</f>
        <v/>
      </c>
      <c r="G181" s="30" t="str">
        <f t="shared" si="25"/>
        <v/>
      </c>
      <c r="H181" s="63" t="str">
        <f t="shared" si="23"/>
        <v/>
      </c>
      <c r="I181" s="31"/>
      <c r="J181" s="64" t="str">
        <f t="shared" si="20"/>
        <v/>
      </c>
      <c r="K181" s="64" t="str">
        <f t="shared" si="21"/>
        <v/>
      </c>
      <c r="L181" s="64" t="str">
        <f t="shared" si="22"/>
        <v/>
      </c>
    </row>
    <row r="182" spans="1:12" x14ac:dyDescent="0.2">
      <c r="A182" s="24"/>
      <c r="B182" s="25"/>
      <c r="C182" s="26"/>
      <c r="D182" s="27"/>
      <c r="E182" s="28" t="str">
        <f t="shared" si="24"/>
        <v/>
      </c>
      <c r="F182" s="29" t="str">
        <f>IF(B182="","",B182-IFERROR(LOOKUP(2,1/(B$6:B181&lt;&gt;""),B$6:B181),76632))</f>
        <v/>
      </c>
      <c r="G182" s="30" t="str">
        <f t="shared" si="25"/>
        <v/>
      </c>
      <c r="H182" s="63" t="str">
        <f t="shared" si="23"/>
        <v/>
      </c>
      <c r="I182" s="31"/>
      <c r="J182" s="64" t="str">
        <f t="shared" si="20"/>
        <v/>
      </c>
      <c r="K182" s="64" t="str">
        <f t="shared" si="21"/>
        <v/>
      </c>
      <c r="L182" s="64" t="str">
        <f t="shared" si="22"/>
        <v/>
      </c>
    </row>
    <row r="183" spans="1:12" x14ac:dyDescent="0.2">
      <c r="A183" s="24"/>
      <c r="B183" s="25"/>
      <c r="C183" s="26"/>
      <c r="D183" s="27"/>
      <c r="E183" s="28" t="str">
        <f t="shared" si="24"/>
        <v/>
      </c>
      <c r="F183" s="29" t="str">
        <f>IF(B183="","",B183-IFERROR(LOOKUP(2,1/(B$6:B182&lt;&gt;""),B$6:B182),76632))</f>
        <v/>
      </c>
      <c r="G183" s="30" t="str">
        <f t="shared" si="25"/>
        <v/>
      </c>
      <c r="H183" s="63" t="str">
        <f t="shared" si="23"/>
        <v/>
      </c>
      <c r="I183" s="31"/>
      <c r="J183" s="64" t="str">
        <f t="shared" si="20"/>
        <v/>
      </c>
      <c r="K183" s="64" t="str">
        <f t="shared" si="21"/>
        <v/>
      </c>
      <c r="L183" s="64" t="str">
        <f t="shared" si="22"/>
        <v/>
      </c>
    </row>
    <row r="184" spans="1:12" x14ac:dyDescent="0.2">
      <c r="A184" s="24"/>
      <c r="B184" s="25"/>
      <c r="C184" s="26"/>
      <c r="D184" s="27"/>
      <c r="E184" s="28" t="str">
        <f t="shared" si="24"/>
        <v/>
      </c>
      <c r="F184" s="29" t="str">
        <f>IF(B184="","",B184-IFERROR(LOOKUP(2,1/(B$6:B183&lt;&gt;""),B$6:B183),76632))</f>
        <v/>
      </c>
      <c r="G184" s="30" t="str">
        <f t="shared" si="25"/>
        <v/>
      </c>
      <c r="H184" s="63" t="str">
        <f t="shared" si="23"/>
        <v/>
      </c>
      <c r="I184" s="31"/>
      <c r="J184" s="64" t="str">
        <f t="shared" si="20"/>
        <v/>
      </c>
      <c r="K184" s="64" t="str">
        <f t="shared" si="21"/>
        <v/>
      </c>
      <c r="L184" s="64" t="str">
        <f t="shared" si="22"/>
        <v/>
      </c>
    </row>
    <row r="185" spans="1:12" x14ac:dyDescent="0.2">
      <c r="A185" s="24"/>
      <c r="B185" s="25"/>
      <c r="C185" s="26"/>
      <c r="D185" s="27"/>
      <c r="E185" s="28" t="str">
        <f t="shared" si="24"/>
        <v/>
      </c>
      <c r="F185" s="29" t="str">
        <f>IF(B185="","",B185-IFERROR(LOOKUP(2,1/(B$6:B184&lt;&gt;""),B$6:B184),76632))</f>
        <v/>
      </c>
      <c r="G185" s="30" t="str">
        <f t="shared" si="25"/>
        <v/>
      </c>
      <c r="H185" s="63" t="str">
        <f t="shared" si="23"/>
        <v/>
      </c>
      <c r="I185" s="31"/>
      <c r="J185" s="64" t="str">
        <f t="shared" si="20"/>
        <v/>
      </c>
      <c r="K185" s="64" t="str">
        <f t="shared" si="21"/>
        <v/>
      </c>
      <c r="L185" s="64" t="str">
        <f t="shared" si="22"/>
        <v/>
      </c>
    </row>
    <row r="186" spans="1:12" x14ac:dyDescent="0.2">
      <c r="A186" s="24"/>
      <c r="B186" s="25"/>
      <c r="C186" s="26"/>
      <c r="D186" s="27"/>
      <c r="E186" s="28" t="str">
        <f t="shared" si="24"/>
        <v/>
      </c>
      <c r="F186" s="29" t="str">
        <f>IF(B186="","",B186-IFERROR(LOOKUP(2,1/(B$6:B185&lt;&gt;""),B$6:B185),76632))</f>
        <v/>
      </c>
      <c r="G186" s="30" t="str">
        <f t="shared" si="25"/>
        <v/>
      </c>
      <c r="H186" s="63" t="str">
        <f t="shared" si="23"/>
        <v/>
      </c>
      <c r="I186" s="31"/>
      <c r="J186" s="64" t="str">
        <f t="shared" si="20"/>
        <v/>
      </c>
      <c r="K186" s="64" t="str">
        <f t="shared" si="21"/>
        <v/>
      </c>
      <c r="L186" s="64" t="str">
        <f t="shared" si="22"/>
        <v/>
      </c>
    </row>
    <row r="187" spans="1:12" x14ac:dyDescent="0.2">
      <c r="A187" s="24"/>
      <c r="B187" s="25"/>
      <c r="C187" s="26"/>
      <c r="D187" s="27"/>
      <c r="E187" s="28" t="str">
        <f t="shared" si="24"/>
        <v/>
      </c>
      <c r="F187" s="29" t="str">
        <f>IF(B187="","",B187-IFERROR(LOOKUP(2,1/(B$6:B186&lt;&gt;""),B$6:B186),76632))</f>
        <v/>
      </c>
      <c r="G187" s="30" t="str">
        <f t="shared" si="25"/>
        <v/>
      </c>
      <c r="H187" s="63" t="str">
        <f t="shared" si="23"/>
        <v/>
      </c>
      <c r="I187" s="31"/>
      <c r="J187" s="64" t="str">
        <f t="shared" si="20"/>
        <v/>
      </c>
      <c r="K187" s="64" t="str">
        <f t="shared" si="21"/>
        <v/>
      </c>
      <c r="L187" s="64" t="str">
        <f t="shared" si="22"/>
        <v/>
      </c>
    </row>
    <row r="188" spans="1:12" x14ac:dyDescent="0.2">
      <c r="A188" s="24"/>
      <c r="B188" s="25"/>
      <c r="C188" s="26"/>
      <c r="D188" s="27"/>
      <c r="E188" s="28" t="str">
        <f t="shared" si="24"/>
        <v/>
      </c>
      <c r="F188" s="29" t="str">
        <f>IF(B188="","",B188-IFERROR(LOOKUP(2,1/(B$6:B187&lt;&gt;""),B$6:B187),76632))</f>
        <v/>
      </c>
      <c r="G188" s="30" t="str">
        <f t="shared" si="25"/>
        <v/>
      </c>
      <c r="H188" s="63" t="str">
        <f t="shared" si="23"/>
        <v/>
      </c>
      <c r="I188" s="31"/>
      <c r="J188" s="64" t="str">
        <f t="shared" si="20"/>
        <v/>
      </c>
      <c r="K188" s="64" t="str">
        <f t="shared" si="21"/>
        <v/>
      </c>
      <c r="L188" s="64" t="str">
        <f t="shared" si="22"/>
        <v/>
      </c>
    </row>
    <row r="189" spans="1:12" x14ac:dyDescent="0.2">
      <c r="A189" s="24"/>
      <c r="B189" s="25"/>
      <c r="C189" s="26"/>
      <c r="D189" s="27"/>
      <c r="E189" s="28" t="str">
        <f t="shared" si="24"/>
        <v/>
      </c>
      <c r="F189" s="29" t="str">
        <f>IF(B189="","",B189-IFERROR(LOOKUP(2,1/(B$6:B188&lt;&gt;""),B$6:B188),76632))</f>
        <v/>
      </c>
      <c r="G189" s="30" t="str">
        <f t="shared" si="25"/>
        <v/>
      </c>
      <c r="H189" s="63" t="str">
        <f t="shared" si="23"/>
        <v/>
      </c>
      <c r="I189" s="31"/>
      <c r="J189" s="64" t="str">
        <f t="shared" si="20"/>
        <v/>
      </c>
      <c r="K189" s="64" t="str">
        <f t="shared" si="21"/>
        <v/>
      </c>
      <c r="L189" s="64" t="str">
        <f t="shared" si="22"/>
        <v/>
      </c>
    </row>
    <row r="190" spans="1:12" x14ac:dyDescent="0.2">
      <c r="A190" s="24"/>
      <c r="B190" s="25"/>
      <c r="C190" s="26"/>
      <c r="D190" s="27"/>
      <c r="E190" s="28" t="str">
        <f t="shared" si="24"/>
        <v/>
      </c>
      <c r="F190" s="29" t="str">
        <f>IF(B190="","",B190-IFERROR(LOOKUP(2,1/(B$6:B189&lt;&gt;""),B$6:B189),76632))</f>
        <v/>
      </c>
      <c r="G190" s="30" t="str">
        <f t="shared" si="25"/>
        <v/>
      </c>
      <c r="H190" s="63" t="str">
        <f t="shared" si="23"/>
        <v/>
      </c>
      <c r="I190" s="31"/>
      <c r="J190" s="64" t="str">
        <f t="shared" si="20"/>
        <v/>
      </c>
      <c r="K190" s="64" t="str">
        <f t="shared" si="21"/>
        <v/>
      </c>
      <c r="L190" s="64" t="str">
        <f t="shared" si="22"/>
        <v/>
      </c>
    </row>
    <row r="191" spans="1:12" x14ac:dyDescent="0.2">
      <c r="A191" s="24"/>
      <c r="B191" s="25"/>
      <c r="C191" s="26"/>
      <c r="D191" s="27"/>
      <c r="E191" s="28" t="str">
        <f t="shared" si="24"/>
        <v/>
      </c>
      <c r="F191" s="29" t="str">
        <f>IF(B191="","",B191-IFERROR(LOOKUP(2,1/(B$6:B190&lt;&gt;""),B$6:B190),76632))</f>
        <v/>
      </c>
      <c r="G191" s="30" t="str">
        <f t="shared" si="25"/>
        <v/>
      </c>
      <c r="H191" s="63" t="str">
        <f t="shared" si="23"/>
        <v/>
      </c>
      <c r="I191" s="31"/>
      <c r="J191" s="64" t="str">
        <f t="shared" si="20"/>
        <v/>
      </c>
      <c r="K191" s="64" t="str">
        <f t="shared" si="21"/>
        <v/>
      </c>
      <c r="L191" s="64" t="str">
        <f t="shared" si="22"/>
        <v/>
      </c>
    </row>
    <row r="192" spans="1:12" x14ac:dyDescent="0.2">
      <c r="A192" s="24"/>
      <c r="B192" s="25"/>
      <c r="C192" s="26"/>
      <c r="D192" s="27"/>
      <c r="E192" s="28" t="str">
        <f t="shared" si="24"/>
        <v/>
      </c>
      <c r="F192" s="29" t="str">
        <f>IF(B192="","",B192-IFERROR(LOOKUP(2,1/(B$6:B191&lt;&gt;""),B$6:B191),76632))</f>
        <v/>
      </c>
      <c r="G192" s="30" t="str">
        <f t="shared" si="25"/>
        <v/>
      </c>
      <c r="H192" s="63" t="str">
        <f t="shared" si="23"/>
        <v/>
      </c>
      <c r="I192" s="31"/>
      <c r="J192" s="64" t="str">
        <f t="shared" si="20"/>
        <v/>
      </c>
      <c r="K192" s="64" t="str">
        <f t="shared" si="21"/>
        <v/>
      </c>
      <c r="L192" s="64" t="str">
        <f t="shared" si="22"/>
        <v/>
      </c>
    </row>
    <row r="193" spans="1:12" x14ac:dyDescent="0.2">
      <c r="A193" s="24"/>
      <c r="B193" s="25"/>
      <c r="C193" s="26"/>
      <c r="D193" s="27"/>
      <c r="E193" s="28" t="str">
        <f t="shared" si="24"/>
        <v/>
      </c>
      <c r="F193" s="29" t="str">
        <f>IF(B193="","",B193-IFERROR(LOOKUP(2,1/(B$6:B192&lt;&gt;""),B$6:B192),76632))</f>
        <v/>
      </c>
      <c r="G193" s="30" t="str">
        <f t="shared" si="25"/>
        <v/>
      </c>
      <c r="H193" s="63" t="str">
        <f t="shared" si="23"/>
        <v/>
      </c>
      <c r="I193" s="31"/>
      <c r="J193" s="64" t="str">
        <f t="shared" si="20"/>
        <v/>
      </c>
      <c r="K193" s="64" t="str">
        <f t="shared" si="21"/>
        <v/>
      </c>
      <c r="L193" s="64" t="str">
        <f t="shared" si="22"/>
        <v/>
      </c>
    </row>
    <row r="194" spans="1:12" x14ac:dyDescent="0.2">
      <c r="A194" s="24"/>
      <c r="B194" s="25"/>
      <c r="C194" s="26"/>
      <c r="D194" s="27"/>
      <c r="E194" s="28" t="str">
        <f t="shared" si="24"/>
        <v/>
      </c>
      <c r="F194" s="29" t="str">
        <f>IF(B194="","",B194-IFERROR(LOOKUP(2,1/(B$6:B193&lt;&gt;""),B$6:B193),76632))</f>
        <v/>
      </c>
      <c r="G194" s="30" t="str">
        <f t="shared" si="25"/>
        <v/>
      </c>
      <c r="H194" s="63" t="str">
        <f t="shared" si="23"/>
        <v/>
      </c>
      <c r="I194" s="31"/>
      <c r="J194" s="64" t="str">
        <f t="shared" si="20"/>
        <v/>
      </c>
      <c r="K194" s="64" t="str">
        <f t="shared" si="21"/>
        <v/>
      </c>
      <c r="L194" s="64" t="str">
        <f t="shared" si="22"/>
        <v/>
      </c>
    </row>
    <row r="195" spans="1:12" x14ac:dyDescent="0.2">
      <c r="A195" s="24"/>
      <c r="B195" s="25"/>
      <c r="C195" s="26"/>
      <c r="D195" s="27"/>
      <c r="E195" s="28" t="str">
        <f t="shared" si="24"/>
        <v/>
      </c>
      <c r="F195" s="29" t="str">
        <f>IF(B195="","",B195-IFERROR(LOOKUP(2,1/(B$6:B194&lt;&gt;""),B$6:B194),76632))</f>
        <v/>
      </c>
      <c r="G195" s="30" t="str">
        <f t="shared" si="25"/>
        <v/>
      </c>
      <c r="H195" s="63" t="str">
        <f t="shared" si="23"/>
        <v/>
      </c>
      <c r="I195" s="31"/>
      <c r="J195" s="64" t="str">
        <f t="shared" si="20"/>
        <v/>
      </c>
      <c r="K195" s="64" t="str">
        <f t="shared" si="21"/>
        <v/>
      </c>
      <c r="L195" s="64" t="str">
        <f t="shared" si="22"/>
        <v/>
      </c>
    </row>
    <row r="196" spans="1:12" x14ac:dyDescent="0.2">
      <c r="A196" s="24"/>
      <c r="B196" s="25"/>
      <c r="C196" s="26"/>
      <c r="D196" s="27"/>
      <c r="E196" s="28" t="str">
        <f t="shared" si="24"/>
        <v/>
      </c>
      <c r="F196" s="29" t="str">
        <f>IF(B196="","",B196-IFERROR(LOOKUP(2,1/(B$6:B195&lt;&gt;""),B$6:B195),76632))</f>
        <v/>
      </c>
      <c r="G196" s="30" t="str">
        <f t="shared" si="25"/>
        <v/>
      </c>
      <c r="H196" s="63" t="str">
        <f t="shared" si="23"/>
        <v/>
      </c>
      <c r="I196" s="31"/>
      <c r="J196" s="64" t="str">
        <f t="shared" si="20"/>
        <v/>
      </c>
      <c r="K196" s="64" t="str">
        <f t="shared" si="21"/>
        <v/>
      </c>
      <c r="L196" s="64" t="str">
        <f t="shared" si="22"/>
        <v/>
      </c>
    </row>
    <row r="197" spans="1:12" x14ac:dyDescent="0.2">
      <c r="A197" s="24"/>
      <c r="B197" s="25"/>
      <c r="C197" s="26"/>
      <c r="D197" s="27"/>
      <c r="E197" s="28" t="str">
        <f t="shared" si="24"/>
        <v/>
      </c>
      <c r="F197" s="29" t="str">
        <f>IF(B197="","",B197-IFERROR(LOOKUP(2,1/(B$6:B196&lt;&gt;""),B$6:B196),76632))</f>
        <v/>
      </c>
      <c r="G197" s="30" t="str">
        <f t="shared" si="25"/>
        <v/>
      </c>
      <c r="H197" s="63" t="str">
        <f t="shared" si="23"/>
        <v/>
      </c>
      <c r="I197" s="31"/>
      <c r="J197" s="64" t="str">
        <f t="shared" si="20"/>
        <v/>
      </c>
      <c r="K197" s="64" t="str">
        <f t="shared" si="21"/>
        <v/>
      </c>
      <c r="L197" s="64" t="str">
        <f t="shared" si="22"/>
        <v/>
      </c>
    </row>
    <row r="198" spans="1:12" x14ac:dyDescent="0.2">
      <c r="A198" s="24"/>
      <c r="B198" s="25"/>
      <c r="C198" s="26"/>
      <c r="D198" s="27"/>
      <c r="E198" s="28" t="str">
        <f t="shared" ref="E198:E200" si="26">IF(OR(C198="",D198=""),"",C198*D198)</f>
        <v/>
      </c>
      <c r="F198" s="29" t="str">
        <f>IF(B198="","",B198-IFERROR(LOOKUP(2,1/(B$6:B197&lt;&gt;""),B$6:B197),76632))</f>
        <v/>
      </c>
      <c r="G198" s="30" t="str">
        <f t="shared" ref="G198:G200" si="27">IF(OR(C198="",F198="",C198=0),"",F198*4.54609/C198)</f>
        <v/>
      </c>
      <c r="H198" s="63" t="str">
        <f t="shared" si="23"/>
        <v/>
      </c>
      <c r="I198" s="31"/>
      <c r="J198" s="64" t="str">
        <f t="shared" si="20"/>
        <v/>
      </c>
      <c r="K198" s="64" t="str">
        <f t="shared" si="21"/>
        <v/>
      </c>
      <c r="L198" s="64" t="str">
        <f t="shared" si="22"/>
        <v/>
      </c>
    </row>
    <row r="199" spans="1:12" x14ac:dyDescent="0.2">
      <c r="A199" s="24"/>
      <c r="B199" s="25"/>
      <c r="C199" s="26"/>
      <c r="D199" s="27"/>
      <c r="E199" s="28" t="str">
        <f t="shared" si="26"/>
        <v/>
      </c>
      <c r="F199" s="29" t="str">
        <f>IF(B199="","",B199-IFERROR(LOOKUP(2,1/(B$6:B198&lt;&gt;""),B$6:B198),76632))</f>
        <v/>
      </c>
      <c r="G199" s="30" t="str">
        <f t="shared" si="27"/>
        <v/>
      </c>
      <c r="H199" s="63" t="str">
        <f t="shared" si="23"/>
        <v/>
      </c>
      <c r="I199" s="31"/>
      <c r="J199" s="64" t="str">
        <f t="shared" ref="J199:J201" si="28">IF(G199="","",ROUND(G199*(61/4.54609),0))</f>
        <v/>
      </c>
      <c r="K199" s="64" t="str">
        <f t="shared" ref="K199:K201" si="29">IF(G199="","",J199/2)</f>
        <v/>
      </c>
      <c r="L199" s="64" t="str">
        <f t="shared" ref="L199:L201" si="30">IF(G199="","",J199/4)</f>
        <v/>
      </c>
    </row>
    <row r="200" spans="1:12" x14ac:dyDescent="0.2">
      <c r="A200" s="24"/>
      <c r="B200" s="25"/>
      <c r="C200" s="26"/>
      <c r="D200" s="27"/>
      <c r="E200" s="28" t="str">
        <f t="shared" si="26"/>
        <v/>
      </c>
      <c r="F200" s="29" t="str">
        <f>IF(B200="","",B200-IFERROR(LOOKUP(2,1/(B$6:B199&lt;&gt;""),B$6:B199),76632))</f>
        <v/>
      </c>
      <c r="G200" s="30" t="str">
        <f t="shared" si="27"/>
        <v/>
      </c>
      <c r="H200" s="63" t="str">
        <f t="shared" si="23"/>
        <v/>
      </c>
      <c r="I200" s="31"/>
      <c r="J200" s="64" t="str">
        <f t="shared" si="28"/>
        <v/>
      </c>
      <c r="K200" s="64" t="str">
        <f t="shared" si="29"/>
        <v/>
      </c>
      <c r="L200" s="64" t="str">
        <f t="shared" si="30"/>
        <v/>
      </c>
    </row>
    <row r="201" spans="1:12" x14ac:dyDescent="0.2">
      <c r="G201" s="65" t="str">
        <f>IF(OR(C201="",F201="",C201=0),"",F201*4.54609/C201)</f>
        <v/>
      </c>
      <c r="H201" s="63" t="str">
        <f t="shared" si="23"/>
        <v/>
      </c>
      <c r="I201" s="31"/>
      <c r="J201" s="64" t="str">
        <f t="shared" si="28"/>
        <v/>
      </c>
      <c r="K201" s="64" t="str">
        <f t="shared" si="29"/>
        <v/>
      </c>
      <c r="L201" s="64" t="str">
        <f t="shared" si="30"/>
        <v/>
      </c>
    </row>
    <row r="202" spans="1:12" x14ac:dyDescent="0.2">
      <c r="A202" s="21" t="s">
        <v>226</v>
      </c>
      <c r="B202" s="21"/>
      <c r="C202" s="32">
        <f>IFERROR(SUM(C6:C200),0)</f>
        <v>556.47</v>
      </c>
      <c r="D202" s="21"/>
      <c r="E202" s="23">
        <f>IFERROR(SUM(E6:E200),0)</f>
        <v>888.86270000000002</v>
      </c>
      <c r="F202" s="33">
        <f>IFERROR(SUM(F6:F200),0)</f>
        <v>3509</v>
      </c>
      <c r="G202" s="66">
        <f>IF(OR(C202="",F202="",C202=0),"",F202*4.54609/C202)</f>
        <v>28.666828059014861</v>
      </c>
      <c r="H202" s="67">
        <f>IF(G202="","",282.481/G202)</f>
        <v>9.8539328947894589</v>
      </c>
      <c r="I202" s="21"/>
      <c r="J202" s="21"/>
      <c r="K202" s="21"/>
      <c r="L202" s="21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J34"/>
  <sheetViews>
    <sheetView zoomScaleNormal="100" workbookViewId="0">
      <pane ySplit="4" topLeftCell="A5" activePane="bottomLeft" state="frozen"/>
      <selection activeCell="C1" sqref="C1"/>
      <selection pane="bottomLeft" activeCell="E16" sqref="E16"/>
    </sheetView>
  </sheetViews>
  <sheetFormatPr defaultColWidth="8.7421875" defaultRowHeight="15" x14ac:dyDescent="0.2"/>
  <cols>
    <col min="1" max="1" width="11.97265625" customWidth="1"/>
    <col min="2" max="2" width="11.43359375" customWidth="1"/>
    <col min="3" max="3" width="18.0234375" customWidth="1"/>
    <col min="4" max="4" width="25.9609375" customWidth="1"/>
    <col min="5" max="5" width="39.953125" customWidth="1"/>
    <col min="6" max="6" width="29.99609375" customWidth="1"/>
    <col min="7" max="7" width="11.97265625" customWidth="1"/>
    <col min="8" max="8" width="20.84765625" customWidth="1"/>
    <col min="9" max="9" width="19.90625" customWidth="1"/>
    <col min="10" max="10" width="39.953125" customWidth="1"/>
  </cols>
  <sheetData>
    <row r="1" spans="1:10" ht="20.25" x14ac:dyDescent="0.25">
      <c r="A1" s="1" t="s">
        <v>227</v>
      </c>
    </row>
    <row r="2" spans="1:10" x14ac:dyDescent="0.2">
      <c r="A2" s="2" t="s">
        <v>228</v>
      </c>
    </row>
    <row r="4" spans="1:10" ht="27.75" customHeight="1" x14ac:dyDescent="0.2">
      <c r="A4" s="51" t="s">
        <v>183</v>
      </c>
      <c r="B4" s="52" t="s">
        <v>188</v>
      </c>
      <c r="C4" s="52" t="s">
        <v>229</v>
      </c>
      <c r="D4" s="52" t="s">
        <v>230</v>
      </c>
      <c r="E4" s="52" t="s">
        <v>231</v>
      </c>
      <c r="F4" s="52" t="s">
        <v>232</v>
      </c>
      <c r="G4" s="52" t="s">
        <v>233</v>
      </c>
      <c r="H4" s="52" t="s">
        <v>234</v>
      </c>
      <c r="I4" s="52" t="s">
        <v>235</v>
      </c>
      <c r="J4" s="53" t="s">
        <v>190</v>
      </c>
    </row>
    <row r="5" spans="1:10" ht="47.25" x14ac:dyDescent="0.2">
      <c r="A5" s="69">
        <v>45855</v>
      </c>
      <c r="B5" s="19">
        <v>76632</v>
      </c>
      <c r="C5" s="15" t="s">
        <v>236</v>
      </c>
      <c r="D5" s="15" t="s">
        <v>237</v>
      </c>
      <c r="E5" s="15" t="s">
        <v>238</v>
      </c>
      <c r="F5" s="15"/>
      <c r="G5" s="4"/>
      <c r="H5" s="19"/>
      <c r="I5" s="9">
        <v>46240</v>
      </c>
      <c r="J5" s="50" t="s">
        <v>239</v>
      </c>
    </row>
    <row r="6" spans="1:10" ht="36" x14ac:dyDescent="0.2">
      <c r="A6" s="69">
        <v>46095</v>
      </c>
      <c r="B6" s="19">
        <v>76632</v>
      </c>
      <c r="C6" s="15" t="s">
        <v>240</v>
      </c>
      <c r="D6" s="15" t="s">
        <v>241</v>
      </c>
      <c r="E6" s="15" t="s">
        <v>242</v>
      </c>
      <c r="F6" s="15"/>
      <c r="G6" s="4"/>
      <c r="H6" s="19"/>
      <c r="I6" s="9"/>
      <c r="J6" s="50" t="s">
        <v>243</v>
      </c>
    </row>
    <row r="7" spans="1:10" ht="24.75" x14ac:dyDescent="0.2">
      <c r="A7" s="69">
        <v>46101</v>
      </c>
      <c r="B7" s="19">
        <v>76700</v>
      </c>
      <c r="C7" s="15" t="s">
        <v>496</v>
      </c>
      <c r="D7" s="15" t="s">
        <v>497</v>
      </c>
      <c r="E7" s="15" t="s">
        <v>498</v>
      </c>
      <c r="F7" s="15"/>
      <c r="G7" s="4"/>
      <c r="H7" s="19"/>
      <c r="I7" s="9"/>
      <c r="J7" s="50" t="s">
        <v>499</v>
      </c>
    </row>
    <row r="8" spans="1:10" ht="93.75" x14ac:dyDescent="0.2">
      <c r="A8" s="77">
        <v>46154</v>
      </c>
      <c r="B8" s="35">
        <v>78840</v>
      </c>
      <c r="C8" s="36" t="s">
        <v>520</v>
      </c>
      <c r="D8" s="36" t="s">
        <v>511</v>
      </c>
      <c r="E8" s="36" t="s">
        <v>521</v>
      </c>
      <c r="F8" s="36"/>
      <c r="G8" s="37">
        <v>511.8</v>
      </c>
      <c r="H8" s="35">
        <v>87500</v>
      </c>
      <c r="I8" s="34">
        <v>46519</v>
      </c>
      <c r="J8" s="78" t="s">
        <v>522</v>
      </c>
    </row>
    <row r="9" spans="1:10" x14ac:dyDescent="0.2">
      <c r="A9" s="73">
        <v>46200</v>
      </c>
      <c r="B9" s="70">
        <v>83000</v>
      </c>
      <c r="C9" s="84" t="s">
        <v>576</v>
      </c>
      <c r="D9" s="84" t="s">
        <v>577</v>
      </c>
      <c r="E9" s="84" t="s">
        <v>578</v>
      </c>
      <c r="F9" s="72"/>
      <c r="G9" s="71"/>
      <c r="H9" s="70"/>
      <c r="I9" s="76"/>
      <c r="J9" s="84" t="s">
        <v>579</v>
      </c>
    </row>
    <row r="10" spans="1:10" ht="36" x14ac:dyDescent="0.2">
      <c r="A10" s="69">
        <v>46211</v>
      </c>
      <c r="B10" s="19">
        <v>80705</v>
      </c>
      <c r="C10" s="15" t="s">
        <v>236</v>
      </c>
      <c r="D10" s="72" t="s">
        <v>511</v>
      </c>
      <c r="E10" s="15" t="s">
        <v>238</v>
      </c>
      <c r="F10" s="15"/>
      <c r="G10" s="4">
        <v>58</v>
      </c>
      <c r="H10" s="19"/>
      <c r="I10" s="9">
        <v>46576</v>
      </c>
      <c r="J10" s="50" t="s">
        <v>580</v>
      </c>
    </row>
    <row r="11" spans="1:10" x14ac:dyDescent="0.2">
      <c r="A11" s="69"/>
      <c r="B11" s="19"/>
      <c r="C11" s="15"/>
      <c r="D11" s="15"/>
      <c r="E11" s="15"/>
      <c r="F11" s="15"/>
      <c r="G11" s="4"/>
      <c r="H11" s="19"/>
      <c r="I11" s="9"/>
      <c r="J11" s="50"/>
    </row>
    <row r="12" spans="1:10" x14ac:dyDescent="0.2">
      <c r="A12" s="69"/>
      <c r="B12" s="19"/>
      <c r="C12" s="15"/>
      <c r="D12" s="15"/>
      <c r="E12" s="15"/>
      <c r="F12" s="15"/>
      <c r="G12" s="4"/>
      <c r="H12" s="19"/>
      <c r="I12" s="9"/>
      <c r="J12" s="50"/>
    </row>
    <row r="13" spans="1:10" x14ac:dyDescent="0.2">
      <c r="A13" s="69"/>
      <c r="B13" s="19"/>
      <c r="C13" s="15"/>
      <c r="D13" s="15"/>
      <c r="E13" s="15"/>
      <c r="F13" s="15"/>
      <c r="G13" s="4"/>
      <c r="H13" s="19"/>
      <c r="I13" s="9"/>
      <c r="J13" s="50"/>
    </row>
    <row r="14" spans="1:10" x14ac:dyDescent="0.2">
      <c r="A14" s="69"/>
      <c r="B14" s="19"/>
      <c r="C14" s="15"/>
      <c r="D14" s="15"/>
      <c r="E14" s="15"/>
      <c r="F14" s="15"/>
      <c r="G14" s="4"/>
      <c r="H14" s="19"/>
      <c r="I14" s="9"/>
      <c r="J14" s="50"/>
    </row>
    <row r="15" spans="1:10" x14ac:dyDescent="0.2">
      <c r="A15" s="69"/>
      <c r="B15" s="19"/>
      <c r="C15" s="15"/>
      <c r="D15" s="15"/>
      <c r="E15" s="15"/>
      <c r="F15" s="15"/>
      <c r="G15" s="4"/>
      <c r="H15" s="19"/>
      <c r="I15" s="9"/>
      <c r="J15" s="50"/>
    </row>
    <row r="16" spans="1:10" x14ac:dyDescent="0.2">
      <c r="A16" s="69"/>
      <c r="B16" s="19"/>
      <c r="C16" s="15"/>
      <c r="D16" s="15"/>
      <c r="E16" s="15"/>
      <c r="F16" s="15"/>
      <c r="G16" s="4"/>
      <c r="H16" s="19"/>
      <c r="I16" s="9"/>
      <c r="J16" s="50"/>
    </row>
    <row r="17" spans="1:10" x14ac:dyDescent="0.2">
      <c r="A17" s="69"/>
      <c r="B17" s="19"/>
      <c r="C17" s="15"/>
      <c r="D17" s="15"/>
      <c r="E17" s="15"/>
      <c r="F17" s="15"/>
      <c r="G17" s="4"/>
      <c r="H17" s="19"/>
      <c r="I17" s="9"/>
      <c r="J17" s="50"/>
    </row>
    <row r="18" spans="1:10" x14ac:dyDescent="0.2">
      <c r="A18" s="69"/>
      <c r="B18" s="19"/>
      <c r="C18" s="15"/>
      <c r="D18" s="15"/>
      <c r="E18" s="15"/>
      <c r="F18" s="15"/>
      <c r="G18" s="4"/>
      <c r="H18" s="19"/>
      <c r="I18" s="9"/>
      <c r="J18" s="50"/>
    </row>
    <row r="19" spans="1:10" x14ac:dyDescent="0.2">
      <c r="A19" s="69"/>
      <c r="B19" s="19"/>
      <c r="C19" s="15"/>
      <c r="D19" s="15"/>
      <c r="E19" s="15"/>
      <c r="F19" s="15"/>
      <c r="G19" s="4"/>
      <c r="H19" s="19"/>
      <c r="I19" s="9"/>
      <c r="J19" s="50"/>
    </row>
    <row r="20" spans="1:10" x14ac:dyDescent="0.2">
      <c r="A20" s="69"/>
      <c r="B20" s="19"/>
      <c r="C20" s="15"/>
      <c r="D20" s="15"/>
      <c r="E20" s="15"/>
      <c r="F20" s="15"/>
      <c r="G20" s="4"/>
      <c r="H20" s="19"/>
      <c r="I20" s="9"/>
      <c r="J20" s="50"/>
    </row>
    <row r="21" spans="1:10" x14ac:dyDescent="0.2">
      <c r="A21" s="69"/>
      <c r="B21" s="19"/>
      <c r="C21" s="15"/>
      <c r="D21" s="15"/>
      <c r="E21" s="15"/>
      <c r="F21" s="15"/>
      <c r="G21" s="4"/>
      <c r="H21" s="19"/>
      <c r="I21" s="9"/>
      <c r="J21" s="50"/>
    </row>
    <row r="22" spans="1:10" x14ac:dyDescent="0.2">
      <c r="A22" s="69"/>
      <c r="B22" s="19"/>
      <c r="C22" s="15"/>
      <c r="D22" s="15"/>
      <c r="E22" s="15"/>
      <c r="F22" s="15"/>
      <c r="G22" s="4"/>
      <c r="H22" s="19"/>
      <c r="I22" s="9"/>
      <c r="J22" s="50"/>
    </row>
    <row r="23" spans="1:10" x14ac:dyDescent="0.2">
      <c r="A23" s="69"/>
      <c r="B23" s="19"/>
      <c r="C23" s="15"/>
      <c r="D23" s="15"/>
      <c r="E23" s="15"/>
      <c r="F23" s="15"/>
      <c r="G23" s="4"/>
      <c r="H23" s="19"/>
      <c r="I23" s="9"/>
      <c r="J23" s="50"/>
    </row>
    <row r="24" spans="1:10" x14ac:dyDescent="0.2">
      <c r="A24" s="69"/>
      <c r="B24" s="19"/>
      <c r="C24" s="15"/>
      <c r="D24" s="15"/>
      <c r="E24" s="15"/>
      <c r="F24" s="15"/>
      <c r="G24" s="4"/>
      <c r="H24" s="19"/>
      <c r="I24" s="9"/>
      <c r="J24" s="50"/>
    </row>
    <row r="25" spans="1:10" x14ac:dyDescent="0.2">
      <c r="A25" s="69"/>
      <c r="B25" s="19"/>
      <c r="C25" s="15"/>
      <c r="D25" s="15"/>
      <c r="E25" s="15"/>
      <c r="F25" s="15"/>
      <c r="G25" s="4"/>
      <c r="H25" s="19"/>
      <c r="I25" s="9"/>
      <c r="J25" s="50"/>
    </row>
    <row r="26" spans="1:10" x14ac:dyDescent="0.2">
      <c r="A26" s="69"/>
      <c r="B26" s="19"/>
      <c r="C26" s="15"/>
      <c r="D26" s="15"/>
      <c r="E26" s="15"/>
      <c r="F26" s="15"/>
      <c r="G26" s="4"/>
      <c r="H26" s="19"/>
      <c r="I26" s="9"/>
      <c r="J26" s="50"/>
    </row>
    <row r="27" spans="1:10" x14ac:dyDescent="0.2">
      <c r="A27" s="69"/>
      <c r="B27" s="19"/>
      <c r="C27" s="15"/>
      <c r="D27" s="15"/>
      <c r="E27" s="15"/>
      <c r="F27" s="15"/>
      <c r="G27" s="4"/>
      <c r="H27" s="19"/>
      <c r="I27" s="9"/>
      <c r="J27" s="50"/>
    </row>
    <row r="28" spans="1:10" x14ac:dyDescent="0.2">
      <c r="A28" s="69"/>
      <c r="B28" s="19"/>
      <c r="C28" s="15"/>
      <c r="D28" s="15"/>
      <c r="E28" s="15"/>
      <c r="F28" s="15"/>
      <c r="G28" s="4"/>
      <c r="H28" s="19"/>
      <c r="I28" s="9"/>
      <c r="J28" s="50"/>
    </row>
    <row r="29" spans="1:10" x14ac:dyDescent="0.2">
      <c r="A29" s="79"/>
      <c r="B29" s="80"/>
      <c r="C29" s="55"/>
      <c r="D29" s="55"/>
      <c r="E29" s="55"/>
      <c r="F29" s="55"/>
      <c r="G29" s="56"/>
      <c r="H29" s="80"/>
      <c r="I29" s="57"/>
      <c r="J29" s="58"/>
    </row>
    <row r="34" spans="6:7" x14ac:dyDescent="0.2">
      <c r="F34" s="18" t="s">
        <v>244</v>
      </c>
      <c r="G34" s="38">
        <f>SUMIF(G5:G8,"&gt;0")</f>
        <v>511.8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H19"/>
  <sheetViews>
    <sheetView zoomScaleNormal="100" workbookViewId="0">
      <pane ySplit="4" topLeftCell="A5" activePane="bottomLeft" state="frozen"/>
      <selection activeCell="C1" sqref="C1"/>
      <selection pane="bottomLeft" activeCell="C9" sqref="C9"/>
    </sheetView>
  </sheetViews>
  <sheetFormatPr defaultColWidth="8.7421875" defaultRowHeight="15" x14ac:dyDescent="0.2"/>
  <cols>
    <col min="1" max="1" width="10.625" customWidth="1"/>
    <col min="2" max="2" width="29.99609375" customWidth="1"/>
    <col min="3" max="3" width="50.04296875" customWidth="1"/>
    <col min="4" max="4" width="16.0078125" customWidth="1"/>
    <col min="5" max="5" width="13.98828125" customWidth="1"/>
    <col min="6" max="6" width="15.33203125" customWidth="1"/>
    <col min="7" max="7" width="19.50390625" customWidth="1"/>
    <col min="8" max="8" width="79.234375" customWidth="1"/>
  </cols>
  <sheetData>
    <row r="1" spans="1:8" ht="20.25" x14ac:dyDescent="0.25">
      <c r="A1" s="1" t="s">
        <v>245</v>
      </c>
    </row>
    <row r="2" spans="1:8" x14ac:dyDescent="0.2">
      <c r="A2" s="2" t="s">
        <v>246</v>
      </c>
    </row>
    <row r="4" spans="1:8" ht="27.75" customHeight="1" x14ac:dyDescent="0.2">
      <c r="A4" s="51" t="s">
        <v>247</v>
      </c>
      <c r="B4" s="52" t="s">
        <v>248</v>
      </c>
      <c r="C4" s="52" t="s">
        <v>249</v>
      </c>
      <c r="D4" s="52" t="s">
        <v>250</v>
      </c>
      <c r="E4" s="52" t="s">
        <v>251</v>
      </c>
      <c r="F4" s="52" t="s">
        <v>252</v>
      </c>
      <c r="G4" s="52" t="s">
        <v>253</v>
      </c>
      <c r="H4" s="53" t="s">
        <v>190</v>
      </c>
    </row>
    <row r="5" spans="1:8" ht="24.75" x14ac:dyDescent="0.2">
      <c r="A5" s="49" t="s">
        <v>254</v>
      </c>
      <c r="B5" s="15" t="s">
        <v>255</v>
      </c>
      <c r="C5" s="15" t="s">
        <v>256</v>
      </c>
      <c r="D5" s="4">
        <v>12</v>
      </c>
      <c r="E5" s="15" t="s">
        <v>500</v>
      </c>
      <c r="F5" s="9">
        <v>46142</v>
      </c>
      <c r="G5" s="9">
        <v>46111</v>
      </c>
      <c r="H5" s="50" t="s">
        <v>258</v>
      </c>
    </row>
    <row r="6" spans="1:8" ht="24.75" x14ac:dyDescent="0.2">
      <c r="A6" s="49" t="s">
        <v>254</v>
      </c>
      <c r="B6" s="15" t="s">
        <v>259</v>
      </c>
      <c r="C6" s="15" t="s">
        <v>260</v>
      </c>
      <c r="D6" s="4">
        <v>75</v>
      </c>
      <c r="E6" s="15" t="s">
        <v>500</v>
      </c>
      <c r="F6" s="9">
        <v>46142</v>
      </c>
      <c r="G6" s="9">
        <v>46111</v>
      </c>
      <c r="H6" s="50" t="s">
        <v>261</v>
      </c>
    </row>
    <row r="7" spans="1:8" ht="24.75" x14ac:dyDescent="0.2">
      <c r="A7" s="49" t="s">
        <v>254</v>
      </c>
      <c r="B7" s="15" t="s">
        <v>262</v>
      </c>
      <c r="C7" s="15" t="s">
        <v>263</v>
      </c>
      <c r="D7" s="4">
        <v>90</v>
      </c>
      <c r="E7" s="15" t="s">
        <v>500</v>
      </c>
      <c r="F7" s="9">
        <v>46142</v>
      </c>
      <c r="G7" s="9">
        <v>46111</v>
      </c>
      <c r="H7" s="50" t="s">
        <v>261</v>
      </c>
    </row>
    <row r="8" spans="1:8" ht="36" x14ac:dyDescent="0.2">
      <c r="A8" s="49" t="s">
        <v>264</v>
      </c>
      <c r="B8" s="15" t="s">
        <v>265</v>
      </c>
      <c r="C8" s="15" t="s">
        <v>266</v>
      </c>
      <c r="D8" s="4">
        <v>15</v>
      </c>
      <c r="E8" s="15" t="s">
        <v>500</v>
      </c>
      <c r="F8" s="9">
        <v>46173</v>
      </c>
      <c r="G8" s="9">
        <v>46111</v>
      </c>
      <c r="H8" s="50" t="s">
        <v>267</v>
      </c>
    </row>
    <row r="9" spans="1:8" ht="36" x14ac:dyDescent="0.2">
      <c r="A9" s="49" t="s">
        <v>268</v>
      </c>
      <c r="B9" s="15" t="s">
        <v>269</v>
      </c>
      <c r="C9" s="15" t="s">
        <v>270</v>
      </c>
      <c r="D9" s="4">
        <v>0</v>
      </c>
      <c r="E9" s="15" t="s">
        <v>500</v>
      </c>
      <c r="F9" s="9"/>
      <c r="G9" s="9"/>
      <c r="H9" s="50" t="s">
        <v>271</v>
      </c>
    </row>
    <row r="10" spans="1:8" x14ac:dyDescent="0.2">
      <c r="A10" s="49" t="s">
        <v>268</v>
      </c>
      <c r="B10" s="15" t="s">
        <v>272</v>
      </c>
      <c r="C10" s="15" t="s">
        <v>273</v>
      </c>
      <c r="D10" s="4">
        <v>20</v>
      </c>
      <c r="E10" s="15" t="s">
        <v>257</v>
      </c>
      <c r="F10" s="9">
        <v>46173</v>
      </c>
      <c r="G10" s="9"/>
      <c r="H10" s="50" t="s">
        <v>274</v>
      </c>
    </row>
    <row r="11" spans="1:8" ht="24.75" x14ac:dyDescent="0.2">
      <c r="A11" s="49" t="s">
        <v>268</v>
      </c>
      <c r="B11" s="15" t="s">
        <v>275</v>
      </c>
      <c r="C11" s="15" t="s">
        <v>276</v>
      </c>
      <c r="D11" s="4">
        <v>5</v>
      </c>
      <c r="E11" s="15" t="s">
        <v>500</v>
      </c>
      <c r="F11" s="9">
        <v>46142</v>
      </c>
      <c r="G11" s="9"/>
      <c r="H11" s="50" t="s">
        <v>277</v>
      </c>
    </row>
    <row r="12" spans="1:8" ht="36" x14ac:dyDescent="0.2">
      <c r="A12" s="49" t="s">
        <v>268</v>
      </c>
      <c r="B12" s="15" t="s">
        <v>278</v>
      </c>
      <c r="C12" s="15" t="s">
        <v>279</v>
      </c>
      <c r="D12" s="4">
        <v>0</v>
      </c>
      <c r="E12" s="15" t="s">
        <v>257</v>
      </c>
      <c r="F12" s="9">
        <v>46173</v>
      </c>
      <c r="G12" s="9"/>
      <c r="H12" s="50" t="s">
        <v>280</v>
      </c>
    </row>
    <row r="13" spans="1:8" x14ac:dyDescent="0.2">
      <c r="A13" s="54" t="s">
        <v>268</v>
      </c>
      <c r="B13" s="55" t="s">
        <v>557</v>
      </c>
      <c r="C13" t="s">
        <v>540</v>
      </c>
      <c r="D13" s="56">
        <v>50</v>
      </c>
      <c r="E13" t="s">
        <v>257</v>
      </c>
      <c r="F13" s="57">
        <v>46203</v>
      </c>
      <c r="G13" s="57"/>
      <c r="H13" s="83" t="s">
        <v>541</v>
      </c>
    </row>
    <row r="14" spans="1:8" x14ac:dyDescent="0.2">
      <c r="A14" s="49" t="s">
        <v>264</v>
      </c>
      <c r="B14" s="15" t="s">
        <v>549</v>
      </c>
      <c r="C14" s="15" t="s">
        <v>550</v>
      </c>
      <c r="D14" s="4">
        <v>20</v>
      </c>
      <c r="E14" s="15" t="s">
        <v>257</v>
      </c>
      <c r="F14" s="9">
        <v>46196</v>
      </c>
      <c r="G14" s="9"/>
      <c r="H14" s="50" t="s">
        <v>551</v>
      </c>
    </row>
    <row r="15" spans="1:8" x14ac:dyDescent="0.2">
      <c r="A15" s="54" t="s">
        <v>264</v>
      </c>
      <c r="B15" s="55" t="s">
        <v>581</v>
      </c>
      <c r="C15" s="55" t="s">
        <v>582</v>
      </c>
      <c r="D15" s="56">
        <v>120</v>
      </c>
      <c r="E15" s="55" t="s">
        <v>257</v>
      </c>
      <c r="F15" s="57">
        <v>46234</v>
      </c>
      <c r="G15" s="57"/>
      <c r="H15" s="58" t="s">
        <v>583</v>
      </c>
    </row>
    <row r="16" spans="1:8" x14ac:dyDescent="0.2">
      <c r="A16" s="54"/>
      <c r="B16" s="55"/>
      <c r="C16" s="55"/>
      <c r="D16" s="56"/>
      <c r="E16" s="55"/>
      <c r="F16" s="57"/>
      <c r="G16" s="57"/>
      <c r="H16" s="58"/>
    </row>
    <row r="17" spans="1:8" x14ac:dyDescent="0.2">
      <c r="A17" s="54"/>
      <c r="B17" s="55"/>
      <c r="C17" s="55"/>
      <c r="D17" s="56"/>
      <c r="E17" s="55"/>
      <c r="F17" s="57"/>
      <c r="G17" s="57"/>
      <c r="H17" s="58"/>
    </row>
    <row r="18" spans="1:8" x14ac:dyDescent="0.2">
      <c r="A18" s="54"/>
      <c r="B18" s="55"/>
      <c r="C18" s="55"/>
      <c r="D18" s="56"/>
      <c r="E18" s="55"/>
      <c r="F18" s="57"/>
      <c r="G18" s="57"/>
      <c r="H18" s="58"/>
    </row>
    <row r="19" spans="1:8" x14ac:dyDescent="0.2">
      <c r="B19" s="39" t="s">
        <v>281</v>
      </c>
      <c r="D19" s="59">
        <f>SUMIFS(D5:D18,E5:E18,"Open")+SUMIFS(D5:D18,E5:E18,"In Progress")</f>
        <v>210</v>
      </c>
    </row>
  </sheetData>
  <conditionalFormatting sqref="A5:A66">
    <cfRule type="cellIs" dxfId="31" priority="5" operator="equal">
      <formula>"High"</formula>
    </cfRule>
    <cfRule type="cellIs" dxfId="30" priority="6" operator="equal">
      <formula>"Medium"</formula>
    </cfRule>
    <cfRule type="cellIs" dxfId="29" priority="7" operator="equal">
      <formula>"Low"</formula>
    </cfRule>
  </conditionalFormatting>
  <conditionalFormatting sqref="E5:E66">
    <cfRule type="cellIs" dxfId="28" priority="2" operator="equal">
      <formula>"Done"</formula>
    </cfRule>
    <cfRule type="cellIs" dxfId="27" priority="3" operator="equal">
      <formula>"In Progress"</formula>
    </cfRule>
    <cfRule type="cellIs" dxfId="26" priority="4" operator="equal">
      <formula>"Open"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:I34"/>
  <sheetViews>
    <sheetView zoomScaleNormal="100" workbookViewId="0">
      <pane ySplit="4" topLeftCell="A5" activePane="bottomLeft" state="frozen"/>
      <selection pane="bottomLeft" activeCell="I34" sqref="I34"/>
    </sheetView>
  </sheetViews>
  <sheetFormatPr defaultColWidth="8.7421875" defaultRowHeight="15" x14ac:dyDescent="0.2"/>
  <cols>
    <col min="1" max="1" width="18.5625" customWidth="1"/>
    <col min="2" max="2" width="54.61328125" customWidth="1"/>
    <col min="3" max="3" width="50.04296875" customWidth="1"/>
    <col min="4" max="4" width="18.96484375" customWidth="1"/>
    <col min="5" max="5" width="13.98828125" customWidth="1"/>
    <col min="6" max="6" width="18.83203125" customWidth="1"/>
    <col min="7" max="7" width="20.58203125" customWidth="1"/>
    <col min="8" max="8" width="25.9609375" customWidth="1"/>
    <col min="9" max="9" width="39.953125" customWidth="1"/>
  </cols>
  <sheetData>
    <row r="1" spans="1:9" ht="20.25" x14ac:dyDescent="0.25">
      <c r="A1" s="1" t="s">
        <v>282</v>
      </c>
    </row>
    <row r="2" spans="1:9" x14ac:dyDescent="0.2">
      <c r="A2" s="2" t="s">
        <v>283</v>
      </c>
    </row>
    <row r="4" spans="1:9" ht="27.75" customHeight="1" x14ac:dyDescent="0.2">
      <c r="A4" s="51" t="s">
        <v>247</v>
      </c>
      <c r="B4" s="52" t="s">
        <v>248</v>
      </c>
      <c r="C4" s="52" t="s">
        <v>249</v>
      </c>
      <c r="D4" s="52" t="s">
        <v>250</v>
      </c>
      <c r="E4" s="52" t="s">
        <v>251</v>
      </c>
      <c r="F4" s="52" t="s">
        <v>284</v>
      </c>
      <c r="G4" s="52" t="s">
        <v>253</v>
      </c>
      <c r="H4" s="52" t="s">
        <v>230</v>
      </c>
      <c r="I4" s="53" t="s">
        <v>190</v>
      </c>
    </row>
    <row r="5" spans="1:9" ht="24.75" x14ac:dyDescent="0.2">
      <c r="A5" s="49" t="s">
        <v>254</v>
      </c>
      <c r="B5" s="15" t="s">
        <v>285</v>
      </c>
      <c r="C5" s="15" t="s">
        <v>286</v>
      </c>
      <c r="D5" s="4">
        <v>250</v>
      </c>
      <c r="E5" s="15" t="s">
        <v>500</v>
      </c>
      <c r="F5" s="9">
        <v>46157</v>
      </c>
      <c r="G5" s="9">
        <v>46155</v>
      </c>
      <c r="H5" s="15" t="s">
        <v>511</v>
      </c>
      <c r="I5" s="50" t="s">
        <v>287</v>
      </c>
    </row>
    <row r="6" spans="1:9" ht="36" x14ac:dyDescent="0.2">
      <c r="A6" s="49" t="s">
        <v>254</v>
      </c>
      <c r="B6" s="15" t="s">
        <v>288</v>
      </c>
      <c r="C6" s="15" t="s">
        <v>289</v>
      </c>
      <c r="D6" s="4">
        <v>40</v>
      </c>
      <c r="E6" s="15" t="s">
        <v>500</v>
      </c>
      <c r="F6" s="9">
        <v>46157</v>
      </c>
      <c r="G6" s="9">
        <v>46155</v>
      </c>
      <c r="H6" s="15" t="s">
        <v>511</v>
      </c>
      <c r="I6" s="50" t="s">
        <v>525</v>
      </c>
    </row>
    <row r="7" spans="1:9" ht="24.75" x14ac:dyDescent="0.2">
      <c r="A7" s="49" t="s">
        <v>254</v>
      </c>
      <c r="B7" s="15" t="s">
        <v>290</v>
      </c>
      <c r="C7" s="15" t="s">
        <v>291</v>
      </c>
      <c r="D7" s="4">
        <v>80</v>
      </c>
      <c r="E7" s="15" t="s">
        <v>500</v>
      </c>
      <c r="F7" s="9">
        <v>46157</v>
      </c>
      <c r="G7" s="9">
        <v>46155</v>
      </c>
      <c r="H7" s="15" t="s">
        <v>511</v>
      </c>
      <c r="I7" s="50" t="s">
        <v>524</v>
      </c>
    </row>
    <row r="8" spans="1:9" ht="24.75" x14ac:dyDescent="0.2">
      <c r="A8" s="49" t="s">
        <v>254</v>
      </c>
      <c r="B8" s="15" t="s">
        <v>292</v>
      </c>
      <c r="C8" s="15" t="s">
        <v>293</v>
      </c>
      <c r="D8" s="4">
        <v>150</v>
      </c>
      <c r="E8" s="15" t="s">
        <v>500</v>
      </c>
      <c r="F8" s="9">
        <v>46157</v>
      </c>
      <c r="G8" s="9">
        <v>46155</v>
      </c>
      <c r="H8" s="15" t="s">
        <v>511</v>
      </c>
      <c r="I8" s="50" t="s">
        <v>294</v>
      </c>
    </row>
    <row r="9" spans="1:9" ht="24.75" x14ac:dyDescent="0.2">
      <c r="A9" s="49" t="s">
        <v>264</v>
      </c>
      <c r="B9" s="15" t="s">
        <v>295</v>
      </c>
      <c r="C9" s="15" t="s">
        <v>296</v>
      </c>
      <c r="D9" s="4">
        <v>80</v>
      </c>
      <c r="E9" s="15" t="s">
        <v>500</v>
      </c>
      <c r="F9" s="9">
        <v>46157</v>
      </c>
      <c r="G9" s="9">
        <v>46155</v>
      </c>
      <c r="H9" s="15" t="s">
        <v>511</v>
      </c>
      <c r="I9" s="50" t="s">
        <v>523</v>
      </c>
    </row>
    <row r="10" spans="1:9" ht="24.75" x14ac:dyDescent="0.2">
      <c r="A10" s="49" t="s">
        <v>264</v>
      </c>
      <c r="B10" s="15" t="s">
        <v>297</v>
      </c>
      <c r="C10" s="15" t="s">
        <v>298</v>
      </c>
      <c r="D10" s="4">
        <v>30</v>
      </c>
      <c r="E10" s="15" t="s">
        <v>500</v>
      </c>
      <c r="F10" s="9">
        <v>46157</v>
      </c>
      <c r="G10" s="9">
        <v>46155</v>
      </c>
      <c r="H10" s="15" t="s">
        <v>511</v>
      </c>
      <c r="I10" s="50" t="s">
        <v>299</v>
      </c>
    </row>
    <row r="11" spans="1:9" ht="24.75" x14ac:dyDescent="0.2">
      <c r="A11" s="49" t="s">
        <v>268</v>
      </c>
      <c r="B11" s="15" t="s">
        <v>300</v>
      </c>
      <c r="C11" s="15" t="s">
        <v>301</v>
      </c>
      <c r="D11" s="4">
        <v>40</v>
      </c>
      <c r="E11" s="15" t="s">
        <v>500</v>
      </c>
      <c r="F11" s="9">
        <v>46157</v>
      </c>
      <c r="G11" s="9">
        <v>46155</v>
      </c>
      <c r="H11" s="15" t="s">
        <v>511</v>
      </c>
      <c r="I11" s="50" t="s">
        <v>302</v>
      </c>
    </row>
    <row r="12" spans="1:9" ht="24.75" x14ac:dyDescent="0.2">
      <c r="A12" s="54" t="s">
        <v>268</v>
      </c>
      <c r="B12" s="55" t="s">
        <v>303</v>
      </c>
      <c r="C12" s="55" t="s">
        <v>304</v>
      </c>
      <c r="D12" s="56">
        <v>50</v>
      </c>
      <c r="E12" s="55" t="s">
        <v>500</v>
      </c>
      <c r="F12" s="57">
        <v>46157</v>
      </c>
      <c r="G12" s="57">
        <v>46155</v>
      </c>
      <c r="H12" s="55" t="s">
        <v>511</v>
      </c>
      <c r="I12" s="58" t="s">
        <v>305</v>
      </c>
    </row>
    <row r="13" spans="1:9" ht="36" x14ac:dyDescent="0.2">
      <c r="A13" s="49" t="s">
        <v>254</v>
      </c>
      <c r="B13" s="15" t="s">
        <v>526</v>
      </c>
      <c r="C13" s="15" t="s">
        <v>527</v>
      </c>
      <c r="D13" s="4">
        <v>200</v>
      </c>
      <c r="E13" s="15" t="s">
        <v>500</v>
      </c>
      <c r="F13" s="9">
        <v>46172</v>
      </c>
      <c r="G13" s="9">
        <v>46186</v>
      </c>
      <c r="H13" s="15" t="s">
        <v>511</v>
      </c>
      <c r="I13" s="50"/>
    </row>
    <row r="14" spans="1:9" x14ac:dyDescent="0.2">
      <c r="A14" t="s">
        <v>264</v>
      </c>
      <c r="B14" t="s">
        <v>538</v>
      </c>
      <c r="C14" t="s">
        <v>539</v>
      </c>
      <c r="D14" s="4">
        <v>150</v>
      </c>
      <c r="E14" t="s">
        <v>257</v>
      </c>
      <c r="F14" s="9">
        <v>46203</v>
      </c>
      <c r="G14" s="9"/>
      <c r="H14" s="15"/>
      <c r="I14" s="50"/>
    </row>
    <row r="15" spans="1:9" x14ac:dyDescent="0.2">
      <c r="A15" s="49"/>
      <c r="B15" s="15"/>
      <c r="C15" s="15"/>
      <c r="D15" s="4"/>
      <c r="E15" s="15"/>
      <c r="F15" s="9"/>
      <c r="G15" s="9"/>
      <c r="H15" s="15"/>
      <c r="I15" s="50"/>
    </row>
    <row r="16" spans="1:9" x14ac:dyDescent="0.2">
      <c r="A16" s="49"/>
      <c r="B16" s="15"/>
      <c r="C16" s="15"/>
      <c r="D16" s="4"/>
      <c r="E16" s="15"/>
      <c r="F16" s="9"/>
      <c r="G16" s="9"/>
      <c r="H16" s="15"/>
      <c r="I16" s="50"/>
    </row>
    <row r="17" spans="1:9" x14ac:dyDescent="0.2">
      <c r="A17" s="49"/>
      <c r="B17" s="15"/>
      <c r="C17" s="15"/>
      <c r="D17" s="4"/>
      <c r="E17" s="15"/>
      <c r="F17" s="9"/>
      <c r="G17" s="9"/>
      <c r="H17" s="15"/>
      <c r="I17" s="50"/>
    </row>
    <row r="18" spans="1:9" x14ac:dyDescent="0.2">
      <c r="A18" s="49"/>
      <c r="B18" s="15"/>
      <c r="C18" s="15"/>
      <c r="D18" s="4"/>
      <c r="E18" s="15"/>
      <c r="F18" s="9"/>
      <c r="G18" s="9"/>
      <c r="H18" s="15"/>
      <c r="I18" s="50"/>
    </row>
    <row r="19" spans="1:9" x14ac:dyDescent="0.2">
      <c r="A19" s="49"/>
      <c r="B19" s="15"/>
      <c r="C19" s="15"/>
      <c r="D19" s="4"/>
      <c r="E19" s="15"/>
      <c r="F19" s="9"/>
      <c r="G19" s="9"/>
      <c r="H19" s="15"/>
      <c r="I19" s="50"/>
    </row>
    <row r="20" spans="1:9" x14ac:dyDescent="0.2">
      <c r="A20" s="49"/>
      <c r="B20" s="15"/>
      <c r="C20" s="15"/>
      <c r="D20" s="4"/>
      <c r="E20" s="15"/>
      <c r="F20" s="9"/>
      <c r="G20" s="9"/>
      <c r="H20" s="15"/>
      <c r="I20" s="50"/>
    </row>
    <row r="21" spans="1:9" x14ac:dyDescent="0.2">
      <c r="A21" s="49"/>
      <c r="B21" s="15"/>
      <c r="C21" s="15"/>
      <c r="D21" s="4"/>
      <c r="E21" s="15"/>
      <c r="F21" s="9"/>
      <c r="G21" s="9"/>
      <c r="H21" s="15"/>
      <c r="I21" s="50"/>
    </row>
    <row r="22" spans="1:9" x14ac:dyDescent="0.2">
      <c r="A22" s="49"/>
      <c r="B22" s="15"/>
      <c r="C22" s="15"/>
      <c r="D22" s="4"/>
      <c r="E22" s="15"/>
      <c r="F22" s="9"/>
      <c r="G22" s="9"/>
      <c r="H22" s="15"/>
      <c r="I22" s="50"/>
    </row>
    <row r="23" spans="1:9" x14ac:dyDescent="0.2">
      <c r="A23" s="49"/>
      <c r="B23" s="15"/>
      <c r="C23" s="15"/>
      <c r="D23" s="4"/>
      <c r="E23" s="15"/>
      <c r="F23" s="9"/>
      <c r="G23" s="9"/>
      <c r="H23" s="15"/>
      <c r="I23" s="50"/>
    </row>
    <row r="24" spans="1:9" x14ac:dyDescent="0.2">
      <c r="A24" s="49"/>
      <c r="B24" s="15"/>
      <c r="C24" s="15"/>
      <c r="D24" s="4"/>
      <c r="E24" s="15"/>
      <c r="F24" s="9"/>
      <c r="G24" s="9"/>
      <c r="H24" s="15"/>
      <c r="I24" s="50"/>
    </row>
    <row r="25" spans="1:9" x14ac:dyDescent="0.2">
      <c r="A25" s="49"/>
      <c r="B25" s="15"/>
      <c r="C25" s="15"/>
      <c r="D25" s="4"/>
      <c r="E25" s="15"/>
      <c r="F25" s="9"/>
      <c r="G25" s="9"/>
      <c r="H25" s="15"/>
      <c r="I25" s="50"/>
    </row>
    <row r="26" spans="1:9" x14ac:dyDescent="0.2">
      <c r="A26" s="49"/>
      <c r="B26" s="15"/>
      <c r="C26" s="15"/>
      <c r="D26" s="4"/>
      <c r="E26" s="15"/>
      <c r="F26" s="9"/>
      <c r="G26" s="9"/>
      <c r="H26" s="15"/>
      <c r="I26" s="50"/>
    </row>
    <row r="27" spans="1:9" x14ac:dyDescent="0.2">
      <c r="A27" s="49"/>
      <c r="B27" s="15"/>
      <c r="C27" s="15"/>
      <c r="D27" s="4"/>
      <c r="E27" s="15"/>
      <c r="F27" s="9"/>
      <c r="G27" s="9"/>
      <c r="H27" s="15"/>
      <c r="I27" s="50"/>
    </row>
    <row r="28" spans="1:9" x14ac:dyDescent="0.2">
      <c r="A28" s="49"/>
      <c r="B28" s="15"/>
      <c r="C28" s="15"/>
      <c r="D28" s="4"/>
      <c r="E28" s="15"/>
      <c r="F28" s="9"/>
      <c r="G28" s="9"/>
      <c r="H28" s="15"/>
      <c r="I28" s="50"/>
    </row>
    <row r="29" spans="1:9" x14ac:dyDescent="0.2">
      <c r="A29" s="49"/>
      <c r="B29" s="15"/>
      <c r="C29" s="15"/>
      <c r="D29" s="4"/>
      <c r="E29" s="15"/>
      <c r="F29" s="9"/>
      <c r="G29" s="9"/>
      <c r="H29" s="15"/>
      <c r="I29" s="50"/>
    </row>
    <row r="30" spans="1:9" x14ac:dyDescent="0.2">
      <c r="A30" s="54"/>
      <c r="B30" s="55"/>
      <c r="C30" s="55"/>
      <c r="D30" s="56"/>
      <c r="E30" s="55"/>
      <c r="F30" s="57"/>
      <c r="G30" s="57"/>
      <c r="H30" s="55"/>
      <c r="I30" s="58"/>
    </row>
    <row r="34" spans="2:4" x14ac:dyDescent="0.2">
      <c r="B34" s="74" t="s">
        <v>306</v>
      </c>
      <c r="D34" s="59">
        <f>SUMIFS(D5:D30,E5:E30,"Open")+SUMIFS(D5:D30,E5:E30,"Scheduled")</f>
        <v>150</v>
      </c>
    </row>
  </sheetData>
  <conditionalFormatting sqref="A5:A81">
    <cfRule type="cellIs" dxfId="25" priority="5" operator="equal">
      <formula>"High"</formula>
    </cfRule>
    <cfRule type="cellIs" dxfId="24" priority="6" operator="equal">
      <formula>"Medium"</formula>
    </cfRule>
    <cfRule type="cellIs" dxfId="23" priority="7" operator="equal">
      <formula>"Low"</formula>
    </cfRule>
  </conditionalFormatting>
  <conditionalFormatting sqref="E5:E81">
    <cfRule type="cellIs" dxfId="22" priority="2" operator="equal">
      <formula>"Done"</formula>
    </cfRule>
    <cfRule type="cellIs" dxfId="21" priority="3" operator="equal">
      <formula>"Scheduled"</formula>
    </cfRule>
    <cfRule type="cellIs" dxfId="20" priority="4" operator="equal">
      <formula>"Open"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G22"/>
  <sheetViews>
    <sheetView zoomScaleNormal="100" workbookViewId="0">
      <pane ySplit="4" topLeftCell="A5" activePane="bottomLeft" state="frozen"/>
      <selection pane="bottomLeft" activeCell="D6" sqref="D6"/>
    </sheetView>
  </sheetViews>
  <sheetFormatPr defaultColWidth="8.7421875" defaultRowHeight="15" x14ac:dyDescent="0.2"/>
  <cols>
    <col min="1" max="1" width="41.96875" customWidth="1"/>
    <col min="2" max="6" width="13.98828125" customWidth="1"/>
    <col min="7" max="7" width="50.04296875" customWidth="1"/>
    <col min="8" max="8" width="30.53515625" customWidth="1"/>
  </cols>
  <sheetData>
    <row r="1" spans="1:7" ht="20.25" x14ac:dyDescent="0.25">
      <c r="A1" s="1" t="s">
        <v>307</v>
      </c>
    </row>
    <row r="2" spans="1:7" x14ac:dyDescent="0.2">
      <c r="A2" s="2" t="s">
        <v>308</v>
      </c>
    </row>
    <row r="4" spans="1:7" ht="27.75" customHeight="1" x14ac:dyDescent="0.2">
      <c r="A4" s="17" t="s">
        <v>309</v>
      </c>
      <c r="B4" s="17" t="s">
        <v>310</v>
      </c>
      <c r="C4" s="17" t="s">
        <v>311</v>
      </c>
      <c r="D4" s="17" t="s">
        <v>312</v>
      </c>
      <c r="E4" s="17" t="s">
        <v>313</v>
      </c>
      <c r="F4" s="17" t="s">
        <v>251</v>
      </c>
      <c r="G4" s="17" t="s">
        <v>314</v>
      </c>
    </row>
    <row r="5" spans="1:7" ht="24.75" x14ac:dyDescent="0.2">
      <c r="A5" s="15" t="s">
        <v>315</v>
      </c>
      <c r="B5" s="15" t="s">
        <v>316</v>
      </c>
      <c r="C5" s="10">
        <v>7</v>
      </c>
      <c r="D5" s="9">
        <v>46191</v>
      </c>
      <c r="E5" s="9">
        <f t="shared" ref="E5:E22" si="0">IF(D5="","—",D5+C5)</f>
        <v>46198</v>
      </c>
      <c r="F5" s="15" t="str">
        <f t="shared" ref="F5:F22" ca="1" si="1">IF(D5="","Not logged",IF(TODAY()&gt;E5,"Overdue",IF(E5-TODAY()&lt;=7,"Due Soon","OK")))</f>
        <v>Overdue</v>
      </c>
      <c r="G5" s="16" t="s">
        <v>317</v>
      </c>
    </row>
    <row r="6" spans="1:7" ht="24.75" x14ac:dyDescent="0.2">
      <c r="A6" s="15" t="s">
        <v>318</v>
      </c>
      <c r="B6" s="15" t="s">
        <v>316</v>
      </c>
      <c r="C6" s="10">
        <v>7</v>
      </c>
      <c r="D6" s="9">
        <v>46191</v>
      </c>
      <c r="E6" s="9">
        <f t="shared" si="0"/>
        <v>46198</v>
      </c>
      <c r="F6" s="15" t="str">
        <f t="shared" ca="1" si="1"/>
        <v>Overdue</v>
      </c>
      <c r="G6" s="16" t="s">
        <v>319</v>
      </c>
    </row>
    <row r="7" spans="1:7" x14ac:dyDescent="0.2">
      <c r="A7" s="15" t="s">
        <v>320</v>
      </c>
      <c r="B7" s="15" t="s">
        <v>316</v>
      </c>
      <c r="C7" s="10">
        <v>7</v>
      </c>
      <c r="D7" s="9">
        <v>46191</v>
      </c>
      <c r="E7" s="9">
        <f t="shared" si="0"/>
        <v>46198</v>
      </c>
      <c r="F7" s="15" t="str">
        <f t="shared" ca="1" si="1"/>
        <v>Overdue</v>
      </c>
      <c r="G7" s="16" t="s">
        <v>321</v>
      </c>
    </row>
    <row r="8" spans="1:7" ht="24.75" x14ac:dyDescent="0.2">
      <c r="A8" s="15" t="s">
        <v>322</v>
      </c>
      <c r="B8" s="15" t="s">
        <v>316</v>
      </c>
      <c r="C8" s="10">
        <v>7</v>
      </c>
      <c r="D8" s="9">
        <v>46191</v>
      </c>
      <c r="E8" s="9">
        <f t="shared" si="0"/>
        <v>46198</v>
      </c>
      <c r="F8" s="15" t="str">
        <f t="shared" ca="1" si="1"/>
        <v>Overdue</v>
      </c>
      <c r="G8" s="16" t="s">
        <v>323</v>
      </c>
    </row>
    <row r="9" spans="1:7" ht="24.75" x14ac:dyDescent="0.2">
      <c r="A9" s="15" t="s">
        <v>324</v>
      </c>
      <c r="B9" s="15" t="s">
        <v>316</v>
      </c>
      <c r="C9" s="10">
        <v>7</v>
      </c>
      <c r="D9" s="9">
        <v>46191</v>
      </c>
      <c r="E9" s="9">
        <f t="shared" si="0"/>
        <v>46198</v>
      </c>
      <c r="F9" s="15" t="str">
        <f t="shared" ca="1" si="1"/>
        <v>Overdue</v>
      </c>
      <c r="G9" s="16" t="s">
        <v>325</v>
      </c>
    </row>
    <row r="10" spans="1:7" ht="24.75" x14ac:dyDescent="0.2">
      <c r="A10" s="15" t="s">
        <v>326</v>
      </c>
      <c r="B10" s="15" t="s">
        <v>327</v>
      </c>
      <c r="C10" s="10">
        <v>30</v>
      </c>
      <c r="D10" s="9">
        <v>46191</v>
      </c>
      <c r="E10" s="9">
        <f t="shared" si="0"/>
        <v>46221</v>
      </c>
      <c r="F10" s="15" t="str">
        <f t="shared" ca="1" si="1"/>
        <v>Due Soon</v>
      </c>
      <c r="G10" s="16" t="s">
        <v>328</v>
      </c>
    </row>
    <row r="11" spans="1:7" ht="24.75" x14ac:dyDescent="0.2">
      <c r="A11" s="15" t="s">
        <v>329</v>
      </c>
      <c r="B11" s="15" t="s">
        <v>327</v>
      </c>
      <c r="C11" s="10">
        <v>30</v>
      </c>
      <c r="D11" s="9">
        <v>46183</v>
      </c>
      <c r="E11" s="9">
        <f t="shared" si="0"/>
        <v>46213</v>
      </c>
      <c r="F11" s="15" t="str">
        <f t="shared" ca="1" si="1"/>
        <v>Overdue</v>
      </c>
      <c r="G11" s="16" t="s">
        <v>330</v>
      </c>
    </row>
    <row r="12" spans="1:7" x14ac:dyDescent="0.2">
      <c r="A12" s="15" t="s">
        <v>331</v>
      </c>
      <c r="B12" s="15" t="s">
        <v>327</v>
      </c>
      <c r="C12" s="10">
        <v>30</v>
      </c>
      <c r="D12" s="9">
        <v>46174</v>
      </c>
      <c r="E12" s="9">
        <f t="shared" si="0"/>
        <v>46204</v>
      </c>
      <c r="F12" s="15" t="str">
        <f t="shared" ca="1" si="1"/>
        <v>Overdue</v>
      </c>
      <c r="G12" s="16" t="s">
        <v>332</v>
      </c>
    </row>
    <row r="13" spans="1:7" x14ac:dyDescent="0.2">
      <c r="A13" s="15" t="s">
        <v>333</v>
      </c>
      <c r="B13" s="15" t="s">
        <v>327</v>
      </c>
      <c r="C13" s="10">
        <v>30</v>
      </c>
      <c r="D13" s="9">
        <v>46191</v>
      </c>
      <c r="E13" s="9">
        <f t="shared" si="0"/>
        <v>46221</v>
      </c>
      <c r="F13" s="15" t="str">
        <f t="shared" ca="1" si="1"/>
        <v>Due Soon</v>
      </c>
      <c r="G13" s="16" t="s">
        <v>334</v>
      </c>
    </row>
    <row r="14" spans="1:7" ht="24.75" x14ac:dyDescent="0.2">
      <c r="A14" s="15" t="s">
        <v>335</v>
      </c>
      <c r="B14" s="15" t="s">
        <v>327</v>
      </c>
      <c r="C14" s="10">
        <v>30</v>
      </c>
      <c r="D14" s="9">
        <v>46191</v>
      </c>
      <c r="E14" s="9">
        <f t="shared" si="0"/>
        <v>46221</v>
      </c>
      <c r="F14" s="15" t="str">
        <f t="shared" ca="1" si="1"/>
        <v>Due Soon</v>
      </c>
      <c r="G14" s="16" t="s">
        <v>336</v>
      </c>
    </row>
    <row r="15" spans="1:7" x14ac:dyDescent="0.2">
      <c r="A15" s="15" t="s">
        <v>337</v>
      </c>
      <c r="B15" s="15" t="s">
        <v>338</v>
      </c>
      <c r="C15" s="10">
        <v>90</v>
      </c>
      <c r="D15" s="9">
        <v>46155</v>
      </c>
      <c r="E15" s="9">
        <f t="shared" si="0"/>
        <v>46245</v>
      </c>
      <c r="F15" s="15" t="str">
        <f t="shared" ca="1" si="1"/>
        <v>OK</v>
      </c>
      <c r="G15" s="16" t="s">
        <v>339</v>
      </c>
    </row>
    <row r="16" spans="1:7" ht="24.75" x14ac:dyDescent="0.2">
      <c r="A16" s="15" t="s">
        <v>340</v>
      </c>
      <c r="B16" s="15" t="s">
        <v>338</v>
      </c>
      <c r="C16" s="10">
        <v>90</v>
      </c>
      <c r="D16" s="9">
        <v>46155</v>
      </c>
      <c r="E16" s="9">
        <f t="shared" si="0"/>
        <v>46245</v>
      </c>
      <c r="F16" s="15" t="str">
        <f t="shared" ca="1" si="1"/>
        <v>OK</v>
      </c>
      <c r="G16" s="16" t="s">
        <v>341</v>
      </c>
    </row>
    <row r="17" spans="1:7" x14ac:dyDescent="0.2">
      <c r="A17" s="15" t="s">
        <v>342</v>
      </c>
      <c r="B17" s="15" t="s">
        <v>338</v>
      </c>
      <c r="C17" s="10">
        <v>90</v>
      </c>
      <c r="D17" s="9">
        <v>46155</v>
      </c>
      <c r="E17" s="9">
        <f t="shared" si="0"/>
        <v>46245</v>
      </c>
      <c r="F17" s="15" t="str">
        <f t="shared" ca="1" si="1"/>
        <v>OK</v>
      </c>
      <c r="G17" s="16" t="s">
        <v>343</v>
      </c>
    </row>
    <row r="18" spans="1:7" x14ac:dyDescent="0.2">
      <c r="A18" s="15" t="s">
        <v>344</v>
      </c>
      <c r="B18" s="15" t="s">
        <v>338</v>
      </c>
      <c r="C18" s="10">
        <v>90</v>
      </c>
      <c r="D18" s="9">
        <v>46196</v>
      </c>
      <c r="E18" s="9">
        <f t="shared" si="0"/>
        <v>46286</v>
      </c>
      <c r="F18" s="15" t="str">
        <f t="shared" ca="1" si="1"/>
        <v>OK</v>
      </c>
      <c r="G18" s="16" t="s">
        <v>345</v>
      </c>
    </row>
    <row r="19" spans="1:7" ht="24.75" x14ac:dyDescent="0.2">
      <c r="A19" s="15" t="s">
        <v>346</v>
      </c>
      <c r="B19" s="15" t="s">
        <v>338</v>
      </c>
      <c r="C19" s="10">
        <v>90</v>
      </c>
      <c r="D19" s="9">
        <v>46191</v>
      </c>
      <c r="E19" s="9">
        <f t="shared" si="0"/>
        <v>46281</v>
      </c>
      <c r="F19" s="15" t="str">
        <f t="shared" ca="1" si="1"/>
        <v>OK</v>
      </c>
      <c r="G19" s="16" t="s">
        <v>347</v>
      </c>
    </row>
    <row r="20" spans="1:7" ht="24.75" x14ac:dyDescent="0.2">
      <c r="A20" s="15" t="s">
        <v>348</v>
      </c>
      <c r="B20" s="15" t="s">
        <v>349</v>
      </c>
      <c r="C20" s="10">
        <v>180</v>
      </c>
      <c r="D20" s="9">
        <v>46155</v>
      </c>
      <c r="E20" s="9">
        <f t="shared" si="0"/>
        <v>46335</v>
      </c>
      <c r="F20" s="15" t="str">
        <f t="shared" ca="1" si="1"/>
        <v>OK</v>
      </c>
      <c r="G20" s="16" t="s">
        <v>350</v>
      </c>
    </row>
    <row r="21" spans="1:7" x14ac:dyDescent="0.2">
      <c r="A21" s="15" t="s">
        <v>351</v>
      </c>
      <c r="B21" s="15" t="s">
        <v>349</v>
      </c>
      <c r="C21" s="10">
        <v>180</v>
      </c>
      <c r="D21" s="9"/>
      <c r="E21" s="9" t="str">
        <f t="shared" si="0"/>
        <v>—</v>
      </c>
      <c r="F21" s="15" t="str">
        <f t="shared" ca="1" si="1"/>
        <v>Not logged</v>
      </c>
      <c r="G21" s="16"/>
    </row>
    <row r="22" spans="1:7" x14ac:dyDescent="0.2">
      <c r="A22" s="15" t="s">
        <v>352</v>
      </c>
      <c r="B22" s="15" t="s">
        <v>353</v>
      </c>
      <c r="C22" s="10">
        <v>365</v>
      </c>
      <c r="D22" s="9">
        <v>46155</v>
      </c>
      <c r="E22" s="9">
        <f t="shared" si="0"/>
        <v>46520</v>
      </c>
      <c r="F22" s="15" t="str">
        <f t="shared" ca="1" si="1"/>
        <v>OK</v>
      </c>
      <c r="G22" s="16" t="s">
        <v>354</v>
      </c>
    </row>
  </sheetData>
  <conditionalFormatting sqref="F5:F22">
    <cfRule type="cellIs" dxfId="19" priority="2" operator="equal">
      <formula>"Overdue"</formula>
    </cfRule>
    <cfRule type="cellIs" dxfId="18" priority="3" operator="equal">
      <formula>"Due Soon"</formula>
    </cfRule>
    <cfRule type="cellIs" dxfId="17" priority="4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H100"/>
  <sheetViews>
    <sheetView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21.7890625" customWidth="1"/>
    <col min="2" max="2" width="32.015625" customWidth="1"/>
    <col min="3" max="3" width="22.05859375" customWidth="1"/>
    <col min="4" max="4" width="11.97265625" customWidth="1"/>
    <col min="5" max="5" width="9.953125" customWidth="1"/>
    <col min="6" max="6" width="39.953125" customWidth="1"/>
    <col min="8" max="8" width="17.75390625" customWidth="1"/>
  </cols>
  <sheetData>
    <row r="1" spans="1:8" ht="20.25" x14ac:dyDescent="0.25">
      <c r="A1" s="1" t="s">
        <v>368</v>
      </c>
    </row>
    <row r="2" spans="1:8" x14ac:dyDescent="0.2">
      <c r="A2" s="2" t="s">
        <v>369</v>
      </c>
    </row>
    <row r="4" spans="1:8" ht="27.75" customHeight="1" x14ac:dyDescent="0.2">
      <c r="A4" s="17" t="s">
        <v>183</v>
      </c>
      <c r="B4" s="17" t="s">
        <v>370</v>
      </c>
      <c r="C4" s="17" t="s">
        <v>229</v>
      </c>
      <c r="D4" s="17" t="s">
        <v>233</v>
      </c>
      <c r="E4" s="17" t="s">
        <v>188</v>
      </c>
      <c r="F4" s="17" t="s">
        <v>190</v>
      </c>
      <c r="H4" s="18" t="s">
        <v>371</v>
      </c>
    </row>
    <row r="5" spans="1:8" x14ac:dyDescent="0.2">
      <c r="A5" s="24">
        <v>46124</v>
      </c>
      <c r="B5" s="81" t="s">
        <v>528</v>
      </c>
      <c r="C5" s="31" t="s">
        <v>529</v>
      </c>
      <c r="D5" s="28">
        <v>10</v>
      </c>
      <c r="E5" s="25">
        <v>77000</v>
      </c>
      <c r="F5" s="31"/>
      <c r="H5" s="20" t="s">
        <v>372</v>
      </c>
    </row>
    <row r="6" spans="1:8" x14ac:dyDescent="0.2">
      <c r="A6" s="24">
        <v>46162</v>
      </c>
      <c r="B6" s="31" t="s">
        <v>528</v>
      </c>
      <c r="C6" s="31" t="s">
        <v>529</v>
      </c>
      <c r="D6" s="28">
        <v>14</v>
      </c>
      <c r="E6" s="25">
        <v>79000</v>
      </c>
      <c r="F6" s="31"/>
      <c r="H6" s="20" t="s">
        <v>373</v>
      </c>
    </row>
    <row r="7" spans="1:8" x14ac:dyDescent="0.2">
      <c r="A7" s="24">
        <v>46203</v>
      </c>
      <c r="B7" s="31" t="s">
        <v>528</v>
      </c>
      <c r="C7" s="31" t="s">
        <v>529</v>
      </c>
      <c r="D7" s="28">
        <v>16</v>
      </c>
      <c r="E7" s="25">
        <v>80450</v>
      </c>
      <c r="F7" s="31"/>
      <c r="H7" s="20" t="s">
        <v>374</v>
      </c>
    </row>
    <row r="8" spans="1:8" x14ac:dyDescent="0.2">
      <c r="A8" s="24"/>
      <c r="B8" s="31"/>
      <c r="C8" s="31"/>
      <c r="D8" s="28"/>
      <c r="E8" s="25"/>
      <c r="F8" s="31"/>
      <c r="H8" s="20" t="s">
        <v>375</v>
      </c>
    </row>
    <row r="9" spans="1:8" x14ac:dyDescent="0.2">
      <c r="A9" s="24"/>
      <c r="B9" s="31"/>
      <c r="C9" s="31"/>
      <c r="D9" s="28"/>
      <c r="E9" s="25"/>
      <c r="F9" s="31"/>
    </row>
    <row r="10" spans="1:8" x14ac:dyDescent="0.2">
      <c r="A10" s="24"/>
      <c r="B10" s="31"/>
      <c r="C10" s="31"/>
      <c r="D10" s="28"/>
      <c r="E10" s="25"/>
      <c r="F10" s="31"/>
    </row>
    <row r="11" spans="1:8" x14ac:dyDescent="0.2">
      <c r="A11" s="24"/>
      <c r="B11" s="31"/>
      <c r="C11" s="31"/>
      <c r="D11" s="28"/>
      <c r="E11" s="25"/>
      <c r="F11" s="31"/>
    </row>
    <row r="12" spans="1:8" x14ac:dyDescent="0.2">
      <c r="A12" s="24"/>
      <c r="B12" s="31"/>
      <c r="C12" s="31"/>
      <c r="D12" s="28"/>
      <c r="E12" s="25"/>
      <c r="F12" s="31"/>
    </row>
    <row r="13" spans="1:8" x14ac:dyDescent="0.2">
      <c r="A13" s="24"/>
      <c r="B13" s="31"/>
      <c r="C13" s="31"/>
      <c r="D13" s="28"/>
      <c r="E13" s="25"/>
      <c r="F13" s="31"/>
    </row>
    <row r="14" spans="1:8" x14ac:dyDescent="0.2">
      <c r="A14" s="24"/>
      <c r="B14" s="31"/>
      <c r="C14" s="31"/>
      <c r="D14" s="28"/>
      <c r="E14" s="25"/>
      <c r="F14" s="31"/>
    </row>
    <row r="15" spans="1:8" x14ac:dyDescent="0.2">
      <c r="A15" s="24"/>
      <c r="B15" s="31"/>
      <c r="C15" s="31"/>
      <c r="D15" s="28"/>
      <c r="E15" s="25"/>
      <c r="F15" s="31"/>
    </row>
    <row r="16" spans="1:8" x14ac:dyDescent="0.2">
      <c r="A16" s="24"/>
      <c r="B16" s="31"/>
      <c r="C16" s="31"/>
      <c r="D16" s="28"/>
      <c r="E16" s="25"/>
      <c r="F16" s="31"/>
    </row>
    <row r="17" spans="1:6" x14ac:dyDescent="0.2">
      <c r="A17" s="24"/>
      <c r="B17" s="31"/>
      <c r="C17" s="31"/>
      <c r="D17" s="28"/>
      <c r="E17" s="25"/>
      <c r="F17" s="31"/>
    </row>
    <row r="18" spans="1:6" x14ac:dyDescent="0.2">
      <c r="A18" s="24"/>
      <c r="B18" s="31"/>
      <c r="C18" s="31"/>
      <c r="D18" s="28"/>
      <c r="E18" s="25"/>
      <c r="F18" s="31"/>
    </row>
    <row r="19" spans="1:6" x14ac:dyDescent="0.2">
      <c r="A19" s="24"/>
      <c r="B19" s="31"/>
      <c r="C19" s="31"/>
      <c r="D19" s="28"/>
      <c r="E19" s="25"/>
      <c r="F19" s="31"/>
    </row>
    <row r="20" spans="1:6" x14ac:dyDescent="0.2">
      <c r="A20" s="24"/>
      <c r="B20" s="31"/>
      <c r="C20" s="31"/>
      <c r="D20" s="28"/>
      <c r="E20" s="25"/>
      <c r="F20" s="31"/>
    </row>
    <row r="21" spans="1:6" x14ac:dyDescent="0.2">
      <c r="A21" s="24"/>
      <c r="B21" s="31"/>
      <c r="C21" s="31"/>
      <c r="D21" s="28"/>
      <c r="E21" s="25"/>
      <c r="F21" s="31"/>
    </row>
    <row r="22" spans="1:6" x14ac:dyDescent="0.2">
      <c r="A22" s="24"/>
      <c r="B22" s="31"/>
      <c r="C22" s="31"/>
      <c r="D22" s="28"/>
      <c r="E22" s="25"/>
      <c r="F22" s="31"/>
    </row>
    <row r="23" spans="1:6" x14ac:dyDescent="0.2">
      <c r="A23" s="24"/>
      <c r="B23" s="31"/>
      <c r="C23" s="31"/>
      <c r="D23" s="28"/>
      <c r="E23" s="25"/>
      <c r="F23" s="31"/>
    </row>
    <row r="24" spans="1:6" x14ac:dyDescent="0.2">
      <c r="A24" s="24"/>
      <c r="B24" s="31"/>
      <c r="C24" s="31"/>
      <c r="D24" s="28"/>
      <c r="E24" s="25"/>
      <c r="F24" s="31"/>
    </row>
    <row r="25" spans="1:6" x14ac:dyDescent="0.2">
      <c r="A25" s="24"/>
      <c r="B25" s="31"/>
      <c r="C25" s="31"/>
      <c r="D25" s="28"/>
      <c r="E25" s="25"/>
      <c r="F25" s="31"/>
    </row>
    <row r="26" spans="1:6" x14ac:dyDescent="0.2">
      <c r="A26" s="24"/>
      <c r="B26" s="31"/>
      <c r="C26" s="31"/>
      <c r="D26" s="28"/>
      <c r="E26" s="25"/>
      <c r="F26" s="31"/>
    </row>
    <row r="27" spans="1:6" x14ac:dyDescent="0.2">
      <c r="A27" s="24"/>
      <c r="B27" s="31"/>
      <c r="C27" s="31"/>
      <c r="D27" s="28"/>
      <c r="E27" s="25"/>
      <c r="F27" s="31"/>
    </row>
    <row r="28" spans="1:6" x14ac:dyDescent="0.2">
      <c r="A28" s="24"/>
      <c r="B28" s="31"/>
      <c r="C28" s="31"/>
      <c r="D28" s="28"/>
      <c r="E28" s="25"/>
      <c r="F28" s="31"/>
    </row>
    <row r="29" spans="1:6" x14ac:dyDescent="0.2">
      <c r="A29" s="24"/>
      <c r="B29" s="31"/>
      <c r="C29" s="31"/>
      <c r="D29" s="28"/>
      <c r="E29" s="25"/>
      <c r="F29" s="31"/>
    </row>
    <row r="30" spans="1:6" x14ac:dyDescent="0.2">
      <c r="A30" s="24"/>
      <c r="B30" s="31"/>
      <c r="C30" s="31"/>
      <c r="D30" s="28"/>
      <c r="E30" s="25"/>
      <c r="F30" s="31"/>
    </row>
    <row r="31" spans="1:6" x14ac:dyDescent="0.2">
      <c r="A31" s="24"/>
      <c r="B31" s="31"/>
      <c r="C31" s="31"/>
      <c r="D31" s="28"/>
      <c r="E31" s="25"/>
      <c r="F31" s="31"/>
    </row>
    <row r="32" spans="1:6" x14ac:dyDescent="0.2">
      <c r="A32" s="24"/>
      <c r="B32" s="31"/>
      <c r="C32" s="31"/>
      <c r="D32" s="28"/>
      <c r="E32" s="25"/>
      <c r="F32" s="31"/>
    </row>
    <row r="33" spans="1:6" x14ac:dyDescent="0.2">
      <c r="A33" s="24"/>
      <c r="B33" s="31"/>
      <c r="C33" s="31"/>
      <c r="D33" s="28"/>
      <c r="E33" s="25"/>
      <c r="F33" s="31"/>
    </row>
    <row r="34" spans="1:6" x14ac:dyDescent="0.2">
      <c r="A34" s="24"/>
      <c r="B34" s="31"/>
      <c r="C34" s="31"/>
      <c r="D34" s="28"/>
      <c r="E34" s="25"/>
      <c r="F34" s="31"/>
    </row>
    <row r="35" spans="1:6" x14ac:dyDescent="0.2">
      <c r="A35" s="24"/>
      <c r="B35" s="31"/>
      <c r="C35" s="31"/>
      <c r="D35" s="28"/>
      <c r="E35" s="25"/>
      <c r="F35" s="31"/>
    </row>
    <row r="36" spans="1:6" x14ac:dyDescent="0.2">
      <c r="A36" s="24"/>
      <c r="B36" s="31"/>
      <c r="C36" s="31"/>
      <c r="D36" s="28"/>
      <c r="E36" s="25"/>
      <c r="F36" s="31"/>
    </row>
    <row r="37" spans="1:6" x14ac:dyDescent="0.2">
      <c r="A37" s="24"/>
      <c r="B37" s="31"/>
      <c r="C37" s="31"/>
      <c r="D37" s="28"/>
      <c r="E37" s="25"/>
      <c r="F37" s="31"/>
    </row>
    <row r="38" spans="1:6" x14ac:dyDescent="0.2">
      <c r="A38" s="24"/>
      <c r="B38" s="31"/>
      <c r="C38" s="31"/>
      <c r="D38" s="28"/>
      <c r="E38" s="25"/>
      <c r="F38" s="31"/>
    </row>
    <row r="39" spans="1:6" x14ac:dyDescent="0.2">
      <c r="A39" s="24"/>
      <c r="B39" s="31"/>
      <c r="C39" s="31"/>
      <c r="D39" s="28"/>
      <c r="E39" s="25"/>
      <c r="F39" s="31"/>
    </row>
    <row r="40" spans="1:6" x14ac:dyDescent="0.2">
      <c r="A40" s="24"/>
      <c r="B40" s="31"/>
      <c r="C40" s="31"/>
      <c r="D40" s="28"/>
      <c r="E40" s="25"/>
      <c r="F40" s="31"/>
    </row>
    <row r="41" spans="1:6" x14ac:dyDescent="0.2">
      <c r="A41" s="24"/>
      <c r="B41" s="31"/>
      <c r="C41" s="31"/>
      <c r="D41" s="28"/>
      <c r="E41" s="25"/>
      <c r="F41" s="31"/>
    </row>
    <row r="42" spans="1:6" x14ac:dyDescent="0.2">
      <c r="A42" s="24"/>
      <c r="B42" s="31"/>
      <c r="C42" s="31"/>
      <c r="D42" s="28"/>
      <c r="E42" s="25"/>
      <c r="F42" s="31"/>
    </row>
    <row r="43" spans="1:6" x14ac:dyDescent="0.2">
      <c r="A43" s="24"/>
      <c r="B43" s="31"/>
      <c r="C43" s="31"/>
      <c r="D43" s="28"/>
      <c r="E43" s="25"/>
      <c r="F43" s="31"/>
    </row>
    <row r="44" spans="1:6" x14ac:dyDescent="0.2">
      <c r="A44" s="24"/>
      <c r="B44" s="31"/>
      <c r="C44" s="31"/>
      <c r="D44" s="28"/>
      <c r="E44" s="25"/>
      <c r="F44" s="31"/>
    </row>
    <row r="45" spans="1:6" x14ac:dyDescent="0.2">
      <c r="A45" s="24"/>
      <c r="B45" s="31"/>
      <c r="C45" s="31"/>
      <c r="D45" s="28"/>
      <c r="E45" s="25"/>
      <c r="F45" s="31"/>
    </row>
    <row r="46" spans="1:6" x14ac:dyDescent="0.2">
      <c r="A46" s="24"/>
      <c r="B46" s="31"/>
      <c r="C46" s="31"/>
      <c r="D46" s="28"/>
      <c r="E46" s="25"/>
      <c r="F46" s="31"/>
    </row>
    <row r="47" spans="1:6" x14ac:dyDescent="0.2">
      <c r="A47" s="24"/>
      <c r="B47" s="31"/>
      <c r="C47" s="31"/>
      <c r="D47" s="28"/>
      <c r="E47" s="25"/>
      <c r="F47" s="31"/>
    </row>
    <row r="48" spans="1:6" x14ac:dyDescent="0.2">
      <c r="A48" s="24"/>
      <c r="B48" s="31"/>
      <c r="C48" s="31"/>
      <c r="D48" s="28"/>
      <c r="E48" s="25"/>
      <c r="F48" s="31"/>
    </row>
    <row r="49" spans="1:6" x14ac:dyDescent="0.2">
      <c r="A49" s="24"/>
      <c r="B49" s="31"/>
      <c r="C49" s="31"/>
      <c r="D49" s="28"/>
      <c r="E49" s="25"/>
      <c r="F49" s="31"/>
    </row>
    <row r="50" spans="1:6" x14ac:dyDescent="0.2">
      <c r="A50" s="24"/>
      <c r="B50" s="31"/>
      <c r="C50" s="31"/>
      <c r="D50" s="28"/>
      <c r="E50" s="25"/>
      <c r="F50" s="31"/>
    </row>
    <row r="51" spans="1:6" x14ac:dyDescent="0.2">
      <c r="A51" s="24"/>
      <c r="B51" s="31"/>
      <c r="C51" s="31"/>
      <c r="D51" s="28"/>
      <c r="E51" s="25"/>
      <c r="F51" s="31"/>
    </row>
    <row r="52" spans="1:6" x14ac:dyDescent="0.2">
      <c r="A52" s="24"/>
      <c r="B52" s="31"/>
      <c r="C52" s="31"/>
      <c r="D52" s="28"/>
      <c r="E52" s="25"/>
      <c r="F52" s="31"/>
    </row>
    <row r="53" spans="1:6" x14ac:dyDescent="0.2">
      <c r="A53" s="24"/>
      <c r="B53" s="31"/>
      <c r="C53" s="31"/>
      <c r="D53" s="28"/>
      <c r="E53" s="25"/>
      <c r="F53" s="31"/>
    </row>
    <row r="54" spans="1:6" x14ac:dyDescent="0.2">
      <c r="A54" s="24"/>
      <c r="B54" s="31"/>
      <c r="C54" s="31"/>
      <c r="D54" s="28"/>
      <c r="E54" s="25"/>
      <c r="F54" s="31"/>
    </row>
    <row r="55" spans="1:6" x14ac:dyDescent="0.2">
      <c r="A55" s="24"/>
      <c r="B55" s="31"/>
      <c r="C55" s="31"/>
      <c r="D55" s="28"/>
      <c r="E55" s="25"/>
      <c r="F55" s="31"/>
    </row>
    <row r="56" spans="1:6" x14ac:dyDescent="0.2">
      <c r="A56" s="24"/>
      <c r="B56" s="31"/>
      <c r="C56" s="31"/>
      <c r="D56" s="28"/>
      <c r="E56" s="25"/>
      <c r="F56" s="31"/>
    </row>
    <row r="57" spans="1:6" x14ac:dyDescent="0.2">
      <c r="A57" s="24"/>
      <c r="B57" s="31"/>
      <c r="C57" s="31"/>
      <c r="D57" s="28"/>
      <c r="E57" s="25"/>
      <c r="F57" s="31"/>
    </row>
    <row r="58" spans="1:6" x14ac:dyDescent="0.2">
      <c r="A58" s="24"/>
      <c r="B58" s="31"/>
      <c r="C58" s="31"/>
      <c r="D58" s="28"/>
      <c r="E58" s="25"/>
      <c r="F58" s="31"/>
    </row>
    <row r="59" spans="1:6" x14ac:dyDescent="0.2">
      <c r="A59" s="24"/>
      <c r="B59" s="31"/>
      <c r="C59" s="31"/>
      <c r="D59" s="28"/>
      <c r="E59" s="25"/>
      <c r="F59" s="31"/>
    </row>
    <row r="60" spans="1:6" x14ac:dyDescent="0.2">
      <c r="A60" s="24"/>
      <c r="B60" s="31"/>
      <c r="C60" s="31"/>
      <c r="D60" s="28"/>
      <c r="E60" s="25"/>
      <c r="F60" s="31"/>
    </row>
    <row r="61" spans="1:6" x14ac:dyDescent="0.2">
      <c r="A61" s="24"/>
      <c r="B61" s="31"/>
      <c r="C61" s="31"/>
      <c r="D61" s="28"/>
      <c r="E61" s="25"/>
      <c r="F61" s="31"/>
    </row>
    <row r="62" spans="1:6" x14ac:dyDescent="0.2">
      <c r="A62" s="24"/>
      <c r="B62" s="31"/>
      <c r="C62" s="31"/>
      <c r="D62" s="28"/>
      <c r="E62" s="25"/>
      <c r="F62" s="31"/>
    </row>
    <row r="63" spans="1:6" x14ac:dyDescent="0.2">
      <c r="A63" s="24"/>
      <c r="B63" s="31"/>
      <c r="C63" s="31"/>
      <c r="D63" s="28"/>
      <c r="E63" s="25"/>
      <c r="F63" s="31"/>
    </row>
    <row r="64" spans="1:6" x14ac:dyDescent="0.2">
      <c r="A64" s="24"/>
      <c r="B64" s="31"/>
      <c r="C64" s="31"/>
      <c r="D64" s="28"/>
      <c r="E64" s="25"/>
      <c r="F64" s="31"/>
    </row>
    <row r="65" spans="1:6" x14ac:dyDescent="0.2">
      <c r="A65" s="24"/>
      <c r="B65" s="31"/>
      <c r="C65" s="31"/>
      <c r="D65" s="28"/>
      <c r="E65" s="25"/>
      <c r="F65" s="31"/>
    </row>
    <row r="66" spans="1:6" x14ac:dyDescent="0.2">
      <c r="A66" s="24"/>
      <c r="B66" s="31"/>
      <c r="C66" s="31"/>
      <c r="D66" s="28"/>
      <c r="E66" s="25"/>
      <c r="F66" s="31"/>
    </row>
    <row r="67" spans="1:6" x14ac:dyDescent="0.2">
      <c r="A67" s="24"/>
      <c r="B67" s="31"/>
      <c r="C67" s="31"/>
      <c r="D67" s="28"/>
      <c r="E67" s="25"/>
      <c r="F67" s="31"/>
    </row>
    <row r="68" spans="1:6" x14ac:dyDescent="0.2">
      <c r="A68" s="24"/>
      <c r="B68" s="31"/>
      <c r="C68" s="31"/>
      <c r="D68" s="28"/>
      <c r="E68" s="25"/>
      <c r="F68" s="31"/>
    </row>
    <row r="69" spans="1:6" x14ac:dyDescent="0.2">
      <c r="A69" s="24"/>
      <c r="B69" s="31"/>
      <c r="C69" s="31"/>
      <c r="D69" s="28"/>
      <c r="E69" s="25"/>
      <c r="F69" s="31"/>
    </row>
    <row r="70" spans="1:6" x14ac:dyDescent="0.2">
      <c r="A70" s="24"/>
      <c r="B70" s="31"/>
      <c r="C70" s="31"/>
      <c r="D70" s="28"/>
      <c r="E70" s="25"/>
      <c r="F70" s="31"/>
    </row>
    <row r="71" spans="1:6" x14ac:dyDescent="0.2">
      <c r="A71" s="24"/>
      <c r="B71" s="31"/>
      <c r="C71" s="31"/>
      <c r="D71" s="28"/>
      <c r="E71" s="25"/>
      <c r="F71" s="31"/>
    </row>
    <row r="72" spans="1:6" x14ac:dyDescent="0.2">
      <c r="A72" s="24"/>
      <c r="B72" s="31"/>
      <c r="C72" s="31"/>
      <c r="D72" s="28"/>
      <c r="E72" s="25"/>
      <c r="F72" s="31"/>
    </row>
    <row r="73" spans="1:6" x14ac:dyDescent="0.2">
      <c r="A73" s="24"/>
      <c r="B73" s="31"/>
      <c r="C73" s="31"/>
      <c r="D73" s="28"/>
      <c r="E73" s="25"/>
      <c r="F73" s="31"/>
    </row>
    <row r="74" spans="1:6" x14ac:dyDescent="0.2">
      <c r="A74" s="24"/>
      <c r="B74" s="31"/>
      <c r="C74" s="31"/>
      <c r="D74" s="28"/>
      <c r="E74" s="25"/>
      <c r="F74" s="31"/>
    </row>
    <row r="75" spans="1:6" x14ac:dyDescent="0.2">
      <c r="A75" s="24"/>
      <c r="B75" s="31"/>
      <c r="C75" s="31"/>
      <c r="D75" s="28"/>
      <c r="E75" s="25"/>
      <c r="F75" s="31"/>
    </row>
    <row r="76" spans="1:6" x14ac:dyDescent="0.2">
      <c r="A76" s="24"/>
      <c r="B76" s="31"/>
      <c r="C76" s="31"/>
      <c r="D76" s="28"/>
      <c r="E76" s="25"/>
      <c r="F76" s="31"/>
    </row>
    <row r="77" spans="1:6" x14ac:dyDescent="0.2">
      <c r="A77" s="24"/>
      <c r="B77" s="31"/>
      <c r="C77" s="31"/>
      <c r="D77" s="28"/>
      <c r="E77" s="25"/>
      <c r="F77" s="31"/>
    </row>
    <row r="78" spans="1:6" x14ac:dyDescent="0.2">
      <c r="A78" s="24"/>
      <c r="B78" s="31"/>
      <c r="C78" s="31"/>
      <c r="D78" s="28"/>
      <c r="E78" s="25"/>
      <c r="F78" s="31"/>
    </row>
    <row r="79" spans="1:6" x14ac:dyDescent="0.2">
      <c r="A79" s="24"/>
      <c r="B79" s="31"/>
      <c r="C79" s="31"/>
      <c r="D79" s="28"/>
      <c r="E79" s="25"/>
      <c r="F79" s="31"/>
    </row>
    <row r="80" spans="1:6" x14ac:dyDescent="0.2">
      <c r="A80" s="24"/>
      <c r="B80" s="31"/>
      <c r="C80" s="31"/>
      <c r="D80" s="28"/>
      <c r="E80" s="25"/>
      <c r="F80" s="31"/>
    </row>
    <row r="81" spans="1:6" x14ac:dyDescent="0.2">
      <c r="A81" s="24"/>
      <c r="B81" s="31"/>
      <c r="C81" s="31"/>
      <c r="D81" s="28"/>
      <c r="E81" s="25"/>
      <c r="F81" s="31"/>
    </row>
    <row r="82" spans="1:6" x14ac:dyDescent="0.2">
      <c r="A82" s="24"/>
      <c r="B82" s="31"/>
      <c r="C82" s="31"/>
      <c r="D82" s="28"/>
      <c r="E82" s="25"/>
      <c r="F82" s="31"/>
    </row>
    <row r="83" spans="1:6" x14ac:dyDescent="0.2">
      <c r="A83" s="24"/>
      <c r="B83" s="31"/>
      <c r="C83" s="31"/>
      <c r="D83" s="28"/>
      <c r="E83" s="25"/>
      <c r="F83" s="31"/>
    </row>
    <row r="84" spans="1:6" x14ac:dyDescent="0.2">
      <c r="A84" s="24"/>
      <c r="B84" s="31"/>
      <c r="C84" s="31"/>
      <c r="D84" s="28"/>
      <c r="E84" s="25"/>
      <c r="F84" s="31"/>
    </row>
    <row r="85" spans="1:6" x14ac:dyDescent="0.2">
      <c r="A85" s="24"/>
      <c r="B85" s="31"/>
      <c r="C85" s="31"/>
      <c r="D85" s="28"/>
      <c r="E85" s="25"/>
      <c r="F85" s="31"/>
    </row>
    <row r="86" spans="1:6" x14ac:dyDescent="0.2">
      <c r="A86" s="24"/>
      <c r="B86" s="31"/>
      <c r="C86" s="31"/>
      <c r="D86" s="28"/>
      <c r="E86" s="25"/>
      <c r="F86" s="31"/>
    </row>
    <row r="87" spans="1:6" x14ac:dyDescent="0.2">
      <c r="A87" s="24"/>
      <c r="B87" s="31"/>
      <c r="C87" s="31"/>
      <c r="D87" s="28"/>
      <c r="E87" s="25"/>
      <c r="F87" s="31"/>
    </row>
    <row r="88" spans="1:6" x14ac:dyDescent="0.2">
      <c r="A88" s="24"/>
      <c r="B88" s="31"/>
      <c r="C88" s="31"/>
      <c r="D88" s="28"/>
      <c r="E88" s="25"/>
      <c r="F88" s="31"/>
    </row>
    <row r="89" spans="1:6" x14ac:dyDescent="0.2">
      <c r="A89" s="24"/>
      <c r="B89" s="31"/>
      <c r="C89" s="31"/>
      <c r="D89" s="28"/>
      <c r="E89" s="25"/>
      <c r="F89" s="31"/>
    </row>
    <row r="90" spans="1:6" x14ac:dyDescent="0.2">
      <c r="A90" s="24"/>
      <c r="B90" s="31"/>
      <c r="C90" s="31"/>
      <c r="D90" s="28"/>
      <c r="E90" s="25"/>
      <c r="F90" s="31"/>
    </row>
    <row r="91" spans="1:6" x14ac:dyDescent="0.2">
      <c r="A91" s="24"/>
      <c r="B91" s="31"/>
      <c r="C91" s="31"/>
      <c r="D91" s="28"/>
      <c r="E91" s="25"/>
      <c r="F91" s="31"/>
    </row>
    <row r="92" spans="1:6" x14ac:dyDescent="0.2">
      <c r="A92" s="24"/>
      <c r="B92" s="31"/>
      <c r="C92" s="31"/>
      <c r="D92" s="28"/>
      <c r="E92" s="25"/>
      <c r="F92" s="31"/>
    </row>
    <row r="93" spans="1:6" x14ac:dyDescent="0.2">
      <c r="A93" s="24"/>
      <c r="B93" s="31"/>
      <c r="C93" s="31"/>
      <c r="D93" s="28"/>
      <c r="E93" s="25"/>
      <c r="F93" s="31"/>
    </row>
    <row r="94" spans="1:6" x14ac:dyDescent="0.2">
      <c r="A94" s="24"/>
      <c r="B94" s="31"/>
      <c r="C94" s="31"/>
      <c r="D94" s="28"/>
      <c r="E94" s="25"/>
      <c r="F94" s="31"/>
    </row>
    <row r="95" spans="1:6" x14ac:dyDescent="0.2">
      <c r="A95" s="24"/>
      <c r="B95" s="31"/>
      <c r="C95" s="31"/>
      <c r="D95" s="28"/>
      <c r="E95" s="25"/>
      <c r="F95" s="31"/>
    </row>
    <row r="96" spans="1:6" x14ac:dyDescent="0.2">
      <c r="A96" s="24"/>
      <c r="B96" s="31"/>
      <c r="C96" s="31"/>
      <c r="D96" s="28"/>
      <c r="E96" s="25"/>
      <c r="F96" s="31"/>
    </row>
    <row r="97" spans="1:6" x14ac:dyDescent="0.2">
      <c r="A97" s="24"/>
      <c r="B97" s="31"/>
      <c r="C97" s="31"/>
      <c r="D97" s="28"/>
      <c r="E97" s="25"/>
      <c r="F97" s="31"/>
    </row>
    <row r="98" spans="1:6" x14ac:dyDescent="0.2">
      <c r="A98" s="24"/>
      <c r="B98" s="31"/>
      <c r="C98" s="31"/>
      <c r="D98" s="28"/>
      <c r="E98" s="25"/>
      <c r="F98" s="31"/>
    </row>
    <row r="99" spans="1:6" x14ac:dyDescent="0.2">
      <c r="A99" s="24"/>
      <c r="B99" s="31"/>
      <c r="C99" s="31"/>
      <c r="D99" s="28"/>
      <c r="E99" s="25"/>
      <c r="F99" s="31"/>
    </row>
    <row r="100" spans="1:6" x14ac:dyDescent="0.2">
      <c r="A100" s="24"/>
      <c r="B100" s="31"/>
      <c r="C100" s="31"/>
      <c r="D100" s="28"/>
      <c r="E100" s="25"/>
      <c r="F100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M100"/>
  <sheetViews>
    <sheetView zoomScaleNormal="100" workbookViewId="0">
      <pane ySplit="5" topLeftCell="A11" activePane="bottomLeft" state="frozen"/>
      <selection pane="bottomLeft" activeCell="M15" sqref="M15"/>
    </sheetView>
  </sheetViews>
  <sheetFormatPr defaultColWidth="8.7421875" defaultRowHeight="15" x14ac:dyDescent="0.2"/>
  <cols>
    <col min="1" max="1" width="11.97265625" customWidth="1"/>
    <col min="2" max="2" width="9.953125" customWidth="1"/>
    <col min="3" max="6" width="9.01171875" customWidth="1"/>
    <col min="7" max="7" width="9.953125" customWidth="1"/>
    <col min="8" max="11" width="11.97265625" customWidth="1"/>
    <col min="12" max="12" width="25.69140625" customWidth="1"/>
    <col min="13" max="13" width="39.953125" customWidth="1"/>
  </cols>
  <sheetData>
    <row r="1" spans="1:13" ht="20.25" x14ac:dyDescent="0.25">
      <c r="A1" s="1" t="s">
        <v>355</v>
      </c>
    </row>
    <row r="2" spans="1:13" x14ac:dyDescent="0.2">
      <c r="A2" s="2" t="s">
        <v>356</v>
      </c>
    </row>
    <row r="3" spans="1:13" x14ac:dyDescent="0.2">
      <c r="A3" s="2" t="s">
        <v>357</v>
      </c>
    </row>
    <row r="5" spans="1:13" ht="27.75" customHeight="1" x14ac:dyDescent="0.2">
      <c r="A5" s="17" t="s">
        <v>183</v>
      </c>
      <c r="B5" s="17" t="s">
        <v>188</v>
      </c>
      <c r="C5" s="17" t="s">
        <v>358</v>
      </c>
      <c r="D5" s="17" t="s">
        <v>359</v>
      </c>
      <c r="E5" s="17" t="s">
        <v>360</v>
      </c>
      <c r="F5" s="17" t="s">
        <v>361</v>
      </c>
      <c r="G5" s="17" t="s">
        <v>362</v>
      </c>
      <c r="H5" s="17" t="s">
        <v>363</v>
      </c>
      <c r="I5" s="17" t="s">
        <v>364</v>
      </c>
      <c r="J5" s="17" t="s">
        <v>365</v>
      </c>
      <c r="K5" s="17" t="s">
        <v>366</v>
      </c>
      <c r="L5" s="17" t="s">
        <v>367</v>
      </c>
      <c r="M5" s="17" t="s">
        <v>190</v>
      </c>
    </row>
    <row r="6" spans="1:13" x14ac:dyDescent="0.2">
      <c r="A6" s="24">
        <v>46123</v>
      </c>
      <c r="B6" s="25"/>
      <c r="C6" s="40">
        <v>35</v>
      </c>
      <c r="D6" s="40">
        <v>35</v>
      </c>
      <c r="E6" s="40">
        <v>35</v>
      </c>
      <c r="F6" s="40">
        <v>35</v>
      </c>
      <c r="G6" s="40"/>
      <c r="H6" s="41">
        <v>6</v>
      </c>
      <c r="I6" s="41">
        <v>6</v>
      </c>
      <c r="J6" s="41">
        <v>6</v>
      </c>
      <c r="K6" s="41">
        <v>6</v>
      </c>
      <c r="L6" s="31" t="s">
        <v>503</v>
      </c>
      <c r="M6" s="31"/>
    </row>
    <row r="7" spans="1:13" x14ac:dyDescent="0.2">
      <c r="A7" s="24">
        <v>46147</v>
      </c>
      <c r="B7" s="25"/>
      <c r="C7" s="40">
        <v>35</v>
      </c>
      <c r="D7" s="40">
        <v>35</v>
      </c>
      <c r="E7" s="40">
        <v>35</v>
      </c>
      <c r="F7" s="40">
        <v>35</v>
      </c>
      <c r="G7" s="40"/>
      <c r="H7" s="41">
        <v>6</v>
      </c>
      <c r="I7" s="41">
        <v>6</v>
      </c>
      <c r="J7" s="41">
        <v>6</v>
      </c>
      <c r="K7" s="41">
        <v>6</v>
      </c>
      <c r="L7" s="31" t="s">
        <v>515</v>
      </c>
      <c r="M7" s="31"/>
    </row>
    <row r="8" spans="1:13" x14ac:dyDescent="0.2">
      <c r="A8" s="24">
        <v>46165</v>
      </c>
      <c r="B8" s="25"/>
      <c r="C8" s="40">
        <v>35</v>
      </c>
      <c r="D8" s="40">
        <v>35</v>
      </c>
      <c r="E8" s="40">
        <v>35</v>
      </c>
      <c r="F8" s="40">
        <v>35</v>
      </c>
      <c r="G8" s="40"/>
      <c r="H8" s="41">
        <v>6</v>
      </c>
      <c r="I8" s="41">
        <v>6</v>
      </c>
      <c r="J8" s="41">
        <v>6</v>
      </c>
      <c r="K8" s="41">
        <v>6</v>
      </c>
      <c r="L8" s="31" t="s">
        <v>515</v>
      </c>
      <c r="M8" s="31"/>
    </row>
    <row r="9" spans="1:13" x14ac:dyDescent="0.2">
      <c r="A9" s="24"/>
      <c r="B9" s="25"/>
      <c r="C9" s="40"/>
      <c r="D9" s="40"/>
      <c r="E9" s="40"/>
      <c r="F9" s="40"/>
      <c r="G9" s="40"/>
      <c r="H9" s="41"/>
      <c r="I9" s="41"/>
      <c r="J9" s="41"/>
      <c r="K9" s="41"/>
      <c r="L9" s="31"/>
      <c r="M9" s="31"/>
    </row>
    <row r="10" spans="1:13" x14ac:dyDescent="0.2">
      <c r="A10" s="24"/>
      <c r="B10" s="25"/>
      <c r="C10" s="40"/>
      <c r="D10" s="40"/>
      <c r="E10" s="40"/>
      <c r="F10" s="40"/>
      <c r="G10" s="40"/>
      <c r="H10" s="41"/>
      <c r="I10" s="41"/>
      <c r="J10" s="41"/>
      <c r="K10" s="41"/>
      <c r="L10" s="31"/>
      <c r="M10" s="31"/>
    </row>
    <row r="11" spans="1:13" x14ac:dyDescent="0.2">
      <c r="A11" s="24"/>
      <c r="B11" s="25"/>
      <c r="C11" s="40"/>
      <c r="D11" s="40"/>
      <c r="E11" s="40"/>
      <c r="F11" s="40"/>
      <c r="G11" s="40"/>
      <c r="H11" s="41"/>
      <c r="I11" s="41"/>
      <c r="J11" s="41"/>
      <c r="K11" s="41"/>
      <c r="L11" s="31"/>
      <c r="M11" s="31"/>
    </row>
    <row r="12" spans="1:13" x14ac:dyDescent="0.2">
      <c r="A12" s="24"/>
      <c r="B12" s="25"/>
      <c r="C12" s="40"/>
      <c r="D12" s="40"/>
      <c r="E12" s="40"/>
      <c r="F12" s="40"/>
      <c r="G12" s="40"/>
      <c r="H12" s="41"/>
      <c r="I12" s="41"/>
      <c r="J12" s="41"/>
      <c r="K12" s="41"/>
      <c r="L12" s="31"/>
      <c r="M12" s="31"/>
    </row>
    <row r="13" spans="1:13" x14ac:dyDescent="0.2">
      <c r="A13" s="24"/>
      <c r="B13" s="25"/>
      <c r="C13" s="40"/>
      <c r="D13" s="40"/>
      <c r="E13" s="40"/>
      <c r="F13" s="40"/>
      <c r="G13" s="40"/>
      <c r="H13" s="41"/>
      <c r="I13" s="41"/>
      <c r="J13" s="41"/>
      <c r="K13" s="41"/>
      <c r="L13" s="31"/>
      <c r="M13" s="31"/>
    </row>
    <row r="14" spans="1:13" x14ac:dyDescent="0.2">
      <c r="A14" s="24"/>
      <c r="B14" s="25"/>
      <c r="C14" s="40"/>
      <c r="D14" s="40"/>
      <c r="E14" s="40"/>
      <c r="F14" s="40"/>
      <c r="G14" s="40"/>
      <c r="H14" s="41"/>
      <c r="I14" s="41"/>
      <c r="J14" s="41"/>
      <c r="K14" s="41"/>
      <c r="L14" s="31"/>
      <c r="M14" s="31"/>
    </row>
    <row r="15" spans="1:13" x14ac:dyDescent="0.2">
      <c r="A15" s="24"/>
      <c r="B15" s="25"/>
      <c r="C15" s="40"/>
      <c r="D15" s="40"/>
      <c r="E15" s="40"/>
      <c r="F15" s="40"/>
      <c r="G15" s="40"/>
      <c r="H15" s="41"/>
      <c r="I15" s="41"/>
      <c r="J15" s="41"/>
      <c r="K15" s="41"/>
      <c r="L15" s="31"/>
      <c r="M15" s="31"/>
    </row>
    <row r="16" spans="1:13" x14ac:dyDescent="0.2">
      <c r="A16" s="24"/>
      <c r="B16" s="25"/>
      <c r="C16" s="40"/>
      <c r="D16" s="40"/>
      <c r="E16" s="40"/>
      <c r="F16" s="40"/>
      <c r="G16" s="40"/>
      <c r="H16" s="41"/>
      <c r="I16" s="41"/>
      <c r="J16" s="41"/>
      <c r="K16" s="41"/>
      <c r="L16" s="31"/>
      <c r="M16" s="31"/>
    </row>
    <row r="17" spans="1:13" x14ac:dyDescent="0.2">
      <c r="A17" s="24"/>
      <c r="B17" s="25"/>
      <c r="C17" s="40"/>
      <c r="D17" s="40"/>
      <c r="E17" s="40"/>
      <c r="F17" s="40"/>
      <c r="G17" s="40"/>
      <c r="H17" s="41"/>
      <c r="I17" s="41"/>
      <c r="J17" s="41"/>
      <c r="K17" s="41"/>
      <c r="L17" s="31"/>
      <c r="M17" s="31"/>
    </row>
    <row r="18" spans="1:13" x14ac:dyDescent="0.2">
      <c r="A18" s="24"/>
      <c r="B18" s="25"/>
      <c r="C18" s="40"/>
      <c r="D18" s="40"/>
      <c r="E18" s="40"/>
      <c r="F18" s="40"/>
      <c r="G18" s="40"/>
      <c r="H18" s="41"/>
      <c r="I18" s="41"/>
      <c r="J18" s="41"/>
      <c r="K18" s="41"/>
      <c r="L18" s="31"/>
      <c r="M18" s="31"/>
    </row>
    <row r="19" spans="1:13" x14ac:dyDescent="0.2">
      <c r="A19" s="24"/>
      <c r="B19" s="25"/>
      <c r="C19" s="40"/>
      <c r="D19" s="40"/>
      <c r="E19" s="40"/>
      <c r="F19" s="40"/>
      <c r="G19" s="40"/>
      <c r="H19" s="41"/>
      <c r="I19" s="41"/>
      <c r="J19" s="41"/>
      <c r="K19" s="41"/>
      <c r="L19" s="31"/>
      <c r="M19" s="31"/>
    </row>
    <row r="20" spans="1:13" x14ac:dyDescent="0.2">
      <c r="A20" s="24"/>
      <c r="B20" s="25"/>
      <c r="C20" s="40"/>
      <c r="D20" s="40"/>
      <c r="E20" s="40"/>
      <c r="F20" s="40"/>
      <c r="G20" s="40"/>
      <c r="H20" s="41"/>
      <c r="I20" s="41"/>
      <c r="J20" s="41"/>
      <c r="K20" s="41"/>
      <c r="L20" s="31"/>
      <c r="M20" s="31"/>
    </row>
    <row r="21" spans="1:13" x14ac:dyDescent="0.2">
      <c r="A21" s="24"/>
      <c r="B21" s="25"/>
      <c r="C21" s="40"/>
      <c r="D21" s="40"/>
      <c r="E21" s="40"/>
      <c r="F21" s="40"/>
      <c r="G21" s="40"/>
      <c r="H21" s="41"/>
      <c r="I21" s="41"/>
      <c r="J21" s="41"/>
      <c r="K21" s="41"/>
      <c r="L21" s="31"/>
      <c r="M21" s="31"/>
    </row>
    <row r="22" spans="1:13" x14ac:dyDescent="0.2">
      <c r="A22" s="24"/>
      <c r="B22" s="25"/>
      <c r="C22" s="40"/>
      <c r="D22" s="40"/>
      <c r="E22" s="40"/>
      <c r="F22" s="40"/>
      <c r="G22" s="40"/>
      <c r="H22" s="41"/>
      <c r="I22" s="41"/>
      <c r="J22" s="41"/>
      <c r="K22" s="41"/>
      <c r="L22" s="31"/>
      <c r="M22" s="31"/>
    </row>
    <row r="23" spans="1:13" x14ac:dyDescent="0.2">
      <c r="A23" s="24"/>
      <c r="B23" s="25"/>
      <c r="C23" s="40"/>
      <c r="D23" s="40"/>
      <c r="E23" s="40"/>
      <c r="F23" s="40"/>
      <c r="G23" s="40"/>
      <c r="H23" s="41"/>
      <c r="I23" s="41"/>
      <c r="J23" s="41"/>
      <c r="K23" s="41"/>
      <c r="L23" s="31"/>
      <c r="M23" s="31"/>
    </row>
    <row r="24" spans="1:13" x14ac:dyDescent="0.2">
      <c r="A24" s="24"/>
      <c r="B24" s="25"/>
      <c r="C24" s="40"/>
      <c r="D24" s="40"/>
      <c r="E24" s="40"/>
      <c r="F24" s="40"/>
      <c r="G24" s="40"/>
      <c r="H24" s="41"/>
      <c r="I24" s="41"/>
      <c r="J24" s="41"/>
      <c r="K24" s="41"/>
      <c r="L24" s="31"/>
      <c r="M24" s="31"/>
    </row>
    <row r="25" spans="1:13" x14ac:dyDescent="0.2">
      <c r="A25" s="24"/>
      <c r="B25" s="25"/>
      <c r="C25" s="40"/>
      <c r="D25" s="40"/>
      <c r="E25" s="40"/>
      <c r="F25" s="40"/>
      <c r="G25" s="40"/>
      <c r="H25" s="41"/>
      <c r="I25" s="41"/>
      <c r="J25" s="41"/>
      <c r="K25" s="41"/>
      <c r="L25" s="31"/>
      <c r="M25" s="31"/>
    </row>
    <row r="26" spans="1:13" x14ac:dyDescent="0.2">
      <c r="A26" s="24"/>
      <c r="B26" s="25"/>
      <c r="C26" s="40"/>
      <c r="D26" s="40"/>
      <c r="E26" s="40"/>
      <c r="F26" s="40"/>
      <c r="G26" s="40"/>
      <c r="H26" s="41"/>
      <c r="I26" s="41"/>
      <c r="J26" s="41"/>
      <c r="K26" s="41"/>
      <c r="L26" s="31"/>
      <c r="M26" s="31"/>
    </row>
    <row r="27" spans="1:13" x14ac:dyDescent="0.2">
      <c r="A27" s="24"/>
      <c r="B27" s="25"/>
      <c r="C27" s="40"/>
      <c r="D27" s="40"/>
      <c r="E27" s="40"/>
      <c r="F27" s="40"/>
      <c r="G27" s="40"/>
      <c r="H27" s="41"/>
      <c r="I27" s="41"/>
      <c r="J27" s="41"/>
      <c r="K27" s="41"/>
      <c r="L27" s="31"/>
      <c r="M27" s="31"/>
    </row>
    <row r="28" spans="1:13" x14ac:dyDescent="0.2">
      <c r="A28" s="24"/>
      <c r="B28" s="25"/>
      <c r="C28" s="40"/>
      <c r="D28" s="40"/>
      <c r="E28" s="40"/>
      <c r="F28" s="40"/>
      <c r="G28" s="40"/>
      <c r="H28" s="41"/>
      <c r="I28" s="41"/>
      <c r="J28" s="41"/>
      <c r="K28" s="41"/>
      <c r="L28" s="31"/>
      <c r="M28" s="31"/>
    </row>
    <row r="29" spans="1:13" x14ac:dyDescent="0.2">
      <c r="A29" s="24"/>
      <c r="B29" s="25"/>
      <c r="C29" s="40"/>
      <c r="D29" s="40"/>
      <c r="E29" s="40"/>
      <c r="F29" s="40"/>
      <c r="G29" s="40"/>
      <c r="H29" s="41"/>
      <c r="I29" s="41"/>
      <c r="J29" s="41"/>
      <c r="K29" s="41"/>
      <c r="L29" s="31"/>
      <c r="M29" s="31"/>
    </row>
    <row r="30" spans="1:13" x14ac:dyDescent="0.2">
      <c r="A30" s="24"/>
      <c r="B30" s="25"/>
      <c r="C30" s="40"/>
      <c r="D30" s="40"/>
      <c r="E30" s="40"/>
      <c r="F30" s="40"/>
      <c r="G30" s="40"/>
      <c r="H30" s="41"/>
      <c r="I30" s="41"/>
      <c r="J30" s="41"/>
      <c r="K30" s="41"/>
      <c r="L30" s="31"/>
      <c r="M30" s="31"/>
    </row>
    <row r="31" spans="1:13" x14ac:dyDescent="0.2">
      <c r="A31" s="24"/>
      <c r="B31" s="25"/>
      <c r="C31" s="40"/>
      <c r="D31" s="40"/>
      <c r="E31" s="40"/>
      <c r="F31" s="40"/>
      <c r="G31" s="40"/>
      <c r="H31" s="41"/>
      <c r="I31" s="41"/>
      <c r="J31" s="41"/>
      <c r="K31" s="41"/>
      <c r="L31" s="31"/>
      <c r="M31" s="31"/>
    </row>
    <row r="32" spans="1:13" x14ac:dyDescent="0.2">
      <c r="A32" s="24"/>
      <c r="B32" s="25"/>
      <c r="C32" s="40"/>
      <c r="D32" s="40"/>
      <c r="E32" s="40"/>
      <c r="F32" s="40"/>
      <c r="G32" s="40"/>
      <c r="H32" s="41"/>
      <c r="I32" s="41"/>
      <c r="J32" s="41"/>
      <c r="K32" s="41"/>
      <c r="L32" s="31"/>
      <c r="M32" s="31"/>
    </row>
    <row r="33" spans="1:13" x14ac:dyDescent="0.2">
      <c r="A33" s="24"/>
      <c r="B33" s="25"/>
      <c r="C33" s="40"/>
      <c r="D33" s="40"/>
      <c r="E33" s="40"/>
      <c r="F33" s="40"/>
      <c r="G33" s="40"/>
      <c r="H33" s="41"/>
      <c r="I33" s="41"/>
      <c r="J33" s="41"/>
      <c r="K33" s="41"/>
      <c r="L33" s="31"/>
      <c r="M33" s="31"/>
    </row>
    <row r="34" spans="1:13" x14ac:dyDescent="0.2">
      <c r="A34" s="24"/>
      <c r="B34" s="25"/>
      <c r="C34" s="40"/>
      <c r="D34" s="40"/>
      <c r="E34" s="40"/>
      <c r="F34" s="40"/>
      <c r="G34" s="40"/>
      <c r="H34" s="41"/>
      <c r="I34" s="41"/>
      <c r="J34" s="41"/>
      <c r="K34" s="41"/>
      <c r="L34" s="31"/>
      <c r="M34" s="31"/>
    </row>
    <row r="35" spans="1:13" x14ac:dyDescent="0.2">
      <c r="A35" s="24"/>
      <c r="B35" s="25"/>
      <c r="C35" s="40"/>
      <c r="D35" s="40"/>
      <c r="E35" s="40"/>
      <c r="F35" s="40"/>
      <c r="G35" s="40"/>
      <c r="H35" s="41"/>
      <c r="I35" s="41"/>
      <c r="J35" s="41"/>
      <c r="K35" s="41"/>
      <c r="L35" s="31"/>
      <c r="M35" s="31"/>
    </row>
    <row r="36" spans="1:13" x14ac:dyDescent="0.2">
      <c r="A36" s="24"/>
      <c r="B36" s="25"/>
      <c r="C36" s="40"/>
      <c r="D36" s="40"/>
      <c r="E36" s="40"/>
      <c r="F36" s="40"/>
      <c r="G36" s="40"/>
      <c r="H36" s="41"/>
      <c r="I36" s="41"/>
      <c r="J36" s="41"/>
      <c r="K36" s="41"/>
      <c r="L36" s="31"/>
      <c r="M36" s="31"/>
    </row>
    <row r="37" spans="1:13" x14ac:dyDescent="0.2">
      <c r="A37" s="24"/>
      <c r="B37" s="25"/>
      <c r="C37" s="40"/>
      <c r="D37" s="40"/>
      <c r="E37" s="40"/>
      <c r="F37" s="40"/>
      <c r="G37" s="40"/>
      <c r="H37" s="41"/>
      <c r="I37" s="41"/>
      <c r="J37" s="41"/>
      <c r="K37" s="41"/>
      <c r="L37" s="31"/>
      <c r="M37" s="31"/>
    </row>
    <row r="38" spans="1:13" x14ac:dyDescent="0.2">
      <c r="A38" s="24"/>
      <c r="B38" s="25"/>
      <c r="C38" s="40"/>
      <c r="D38" s="40"/>
      <c r="E38" s="40"/>
      <c r="F38" s="40"/>
      <c r="G38" s="40"/>
      <c r="H38" s="41"/>
      <c r="I38" s="41"/>
      <c r="J38" s="41"/>
      <c r="K38" s="41"/>
      <c r="L38" s="31"/>
      <c r="M38" s="31"/>
    </row>
    <row r="39" spans="1:13" x14ac:dyDescent="0.2">
      <c r="A39" s="24"/>
      <c r="B39" s="25"/>
      <c r="C39" s="40"/>
      <c r="D39" s="40"/>
      <c r="E39" s="40"/>
      <c r="F39" s="40"/>
      <c r="G39" s="40"/>
      <c r="H39" s="41"/>
      <c r="I39" s="41"/>
      <c r="J39" s="41"/>
      <c r="K39" s="41"/>
      <c r="L39" s="31"/>
      <c r="M39" s="31"/>
    </row>
    <row r="40" spans="1:13" x14ac:dyDescent="0.2">
      <c r="A40" s="24"/>
      <c r="B40" s="25"/>
      <c r="C40" s="40"/>
      <c r="D40" s="40"/>
      <c r="E40" s="40"/>
      <c r="F40" s="40"/>
      <c r="G40" s="40"/>
      <c r="H40" s="41"/>
      <c r="I40" s="41"/>
      <c r="J40" s="41"/>
      <c r="K40" s="41"/>
      <c r="L40" s="31"/>
      <c r="M40" s="31"/>
    </row>
    <row r="41" spans="1:13" x14ac:dyDescent="0.2">
      <c r="A41" s="24"/>
      <c r="B41" s="25"/>
      <c r="C41" s="40"/>
      <c r="D41" s="40"/>
      <c r="E41" s="40"/>
      <c r="F41" s="40"/>
      <c r="G41" s="40"/>
      <c r="H41" s="41"/>
      <c r="I41" s="41"/>
      <c r="J41" s="41"/>
      <c r="K41" s="41"/>
      <c r="L41" s="31"/>
      <c r="M41" s="31"/>
    </row>
    <row r="42" spans="1:13" x14ac:dyDescent="0.2">
      <c r="A42" s="24"/>
      <c r="B42" s="25"/>
      <c r="C42" s="40"/>
      <c r="D42" s="40"/>
      <c r="E42" s="40"/>
      <c r="F42" s="40"/>
      <c r="G42" s="40"/>
      <c r="H42" s="41"/>
      <c r="I42" s="41"/>
      <c r="J42" s="41"/>
      <c r="K42" s="41"/>
      <c r="L42" s="31"/>
      <c r="M42" s="31"/>
    </row>
    <row r="43" spans="1:13" x14ac:dyDescent="0.2">
      <c r="A43" s="24"/>
      <c r="B43" s="25"/>
      <c r="C43" s="40"/>
      <c r="D43" s="40"/>
      <c r="E43" s="40"/>
      <c r="F43" s="40"/>
      <c r="G43" s="40"/>
      <c r="H43" s="41"/>
      <c r="I43" s="41"/>
      <c r="J43" s="41"/>
      <c r="K43" s="41"/>
      <c r="L43" s="31"/>
      <c r="M43" s="31"/>
    </row>
    <row r="44" spans="1:13" x14ac:dyDescent="0.2">
      <c r="A44" s="24"/>
      <c r="B44" s="25"/>
      <c r="C44" s="40"/>
      <c r="D44" s="40"/>
      <c r="E44" s="40"/>
      <c r="F44" s="40"/>
      <c r="G44" s="40"/>
      <c r="H44" s="41"/>
      <c r="I44" s="41"/>
      <c r="J44" s="41"/>
      <c r="K44" s="41"/>
      <c r="L44" s="31"/>
      <c r="M44" s="31"/>
    </row>
    <row r="45" spans="1:13" x14ac:dyDescent="0.2">
      <c r="A45" s="24"/>
      <c r="B45" s="25"/>
      <c r="C45" s="40"/>
      <c r="D45" s="40"/>
      <c r="E45" s="40"/>
      <c r="F45" s="40"/>
      <c r="G45" s="40"/>
      <c r="H45" s="41"/>
      <c r="I45" s="41"/>
      <c r="J45" s="41"/>
      <c r="K45" s="41"/>
      <c r="L45" s="31"/>
      <c r="M45" s="31"/>
    </row>
    <row r="46" spans="1:13" x14ac:dyDescent="0.2">
      <c r="A46" s="24"/>
      <c r="B46" s="25"/>
      <c r="C46" s="40"/>
      <c r="D46" s="40"/>
      <c r="E46" s="40"/>
      <c r="F46" s="40"/>
      <c r="G46" s="40"/>
      <c r="H46" s="41"/>
      <c r="I46" s="41"/>
      <c r="J46" s="41"/>
      <c r="K46" s="41"/>
      <c r="L46" s="31"/>
      <c r="M46" s="31"/>
    </row>
    <row r="47" spans="1:13" x14ac:dyDescent="0.2">
      <c r="A47" s="24"/>
      <c r="B47" s="25"/>
      <c r="C47" s="40"/>
      <c r="D47" s="40"/>
      <c r="E47" s="40"/>
      <c r="F47" s="40"/>
      <c r="G47" s="40"/>
      <c r="H47" s="41"/>
      <c r="I47" s="41"/>
      <c r="J47" s="41"/>
      <c r="K47" s="41"/>
      <c r="L47" s="31"/>
      <c r="M47" s="31"/>
    </row>
    <row r="48" spans="1:13" x14ac:dyDescent="0.2">
      <c r="A48" s="24"/>
      <c r="B48" s="25"/>
      <c r="C48" s="40"/>
      <c r="D48" s="40"/>
      <c r="E48" s="40"/>
      <c r="F48" s="40"/>
      <c r="G48" s="40"/>
      <c r="H48" s="41"/>
      <c r="I48" s="41"/>
      <c r="J48" s="41"/>
      <c r="K48" s="41"/>
      <c r="L48" s="31"/>
      <c r="M48" s="31"/>
    </row>
    <row r="49" spans="1:13" x14ac:dyDescent="0.2">
      <c r="A49" s="24"/>
      <c r="B49" s="25"/>
      <c r="C49" s="40"/>
      <c r="D49" s="40"/>
      <c r="E49" s="40"/>
      <c r="F49" s="40"/>
      <c r="G49" s="40"/>
      <c r="H49" s="41"/>
      <c r="I49" s="41"/>
      <c r="J49" s="41"/>
      <c r="K49" s="41"/>
      <c r="L49" s="31"/>
      <c r="M49" s="31"/>
    </row>
    <row r="50" spans="1:13" x14ac:dyDescent="0.2">
      <c r="A50" s="24"/>
      <c r="B50" s="25"/>
      <c r="C50" s="40"/>
      <c r="D50" s="40"/>
      <c r="E50" s="40"/>
      <c r="F50" s="40"/>
      <c r="G50" s="40"/>
      <c r="H50" s="41"/>
      <c r="I50" s="41"/>
      <c r="J50" s="41"/>
      <c r="K50" s="41"/>
      <c r="L50" s="31"/>
      <c r="M50" s="31"/>
    </row>
    <row r="51" spans="1:13" x14ac:dyDescent="0.2">
      <c r="A51" s="24"/>
      <c r="B51" s="25"/>
      <c r="C51" s="40"/>
      <c r="D51" s="40"/>
      <c r="E51" s="40"/>
      <c r="F51" s="40"/>
      <c r="G51" s="40"/>
      <c r="H51" s="41"/>
      <c r="I51" s="41"/>
      <c r="J51" s="41"/>
      <c r="K51" s="41"/>
      <c r="L51" s="31"/>
      <c r="M51" s="31"/>
    </row>
    <row r="52" spans="1:13" x14ac:dyDescent="0.2">
      <c r="A52" s="24"/>
      <c r="B52" s="25"/>
      <c r="C52" s="40"/>
      <c r="D52" s="40"/>
      <c r="E52" s="40"/>
      <c r="F52" s="40"/>
      <c r="G52" s="40"/>
      <c r="H52" s="41"/>
      <c r="I52" s="41"/>
      <c r="J52" s="41"/>
      <c r="K52" s="41"/>
      <c r="L52" s="31"/>
      <c r="M52" s="31"/>
    </row>
    <row r="53" spans="1:13" x14ac:dyDescent="0.2">
      <c r="A53" s="24"/>
      <c r="B53" s="25"/>
      <c r="C53" s="40"/>
      <c r="D53" s="40"/>
      <c r="E53" s="40"/>
      <c r="F53" s="40"/>
      <c r="G53" s="40"/>
      <c r="H53" s="41"/>
      <c r="I53" s="41"/>
      <c r="J53" s="41"/>
      <c r="K53" s="41"/>
      <c r="L53" s="31"/>
      <c r="M53" s="31"/>
    </row>
    <row r="54" spans="1:13" x14ac:dyDescent="0.2">
      <c r="A54" s="24"/>
      <c r="B54" s="25"/>
      <c r="C54" s="40"/>
      <c r="D54" s="40"/>
      <c r="E54" s="40"/>
      <c r="F54" s="40"/>
      <c r="G54" s="40"/>
      <c r="H54" s="41"/>
      <c r="I54" s="41"/>
      <c r="J54" s="41"/>
      <c r="K54" s="41"/>
      <c r="L54" s="31"/>
      <c r="M54" s="31"/>
    </row>
    <row r="55" spans="1:13" x14ac:dyDescent="0.2">
      <c r="A55" s="24"/>
      <c r="B55" s="25"/>
      <c r="C55" s="40"/>
      <c r="D55" s="40"/>
      <c r="E55" s="40"/>
      <c r="F55" s="40"/>
      <c r="G55" s="40"/>
      <c r="H55" s="41"/>
      <c r="I55" s="41"/>
      <c r="J55" s="41"/>
      <c r="K55" s="41"/>
      <c r="L55" s="31"/>
      <c r="M55" s="31"/>
    </row>
    <row r="56" spans="1:13" x14ac:dyDescent="0.2">
      <c r="A56" s="24"/>
      <c r="B56" s="25"/>
      <c r="C56" s="40"/>
      <c r="D56" s="40"/>
      <c r="E56" s="40"/>
      <c r="F56" s="40"/>
      <c r="G56" s="40"/>
      <c r="H56" s="41"/>
      <c r="I56" s="41"/>
      <c r="J56" s="41"/>
      <c r="K56" s="41"/>
      <c r="L56" s="31"/>
      <c r="M56" s="31"/>
    </row>
    <row r="57" spans="1:13" x14ac:dyDescent="0.2">
      <c r="A57" s="24"/>
      <c r="B57" s="25"/>
      <c r="C57" s="40"/>
      <c r="D57" s="40"/>
      <c r="E57" s="40"/>
      <c r="F57" s="40"/>
      <c r="G57" s="40"/>
      <c r="H57" s="41"/>
      <c r="I57" s="41"/>
      <c r="J57" s="41"/>
      <c r="K57" s="41"/>
      <c r="L57" s="31"/>
      <c r="M57" s="31"/>
    </row>
    <row r="58" spans="1:13" x14ac:dyDescent="0.2">
      <c r="A58" s="24"/>
      <c r="B58" s="25"/>
      <c r="C58" s="40"/>
      <c r="D58" s="40"/>
      <c r="E58" s="40"/>
      <c r="F58" s="40"/>
      <c r="G58" s="40"/>
      <c r="H58" s="41"/>
      <c r="I58" s="41"/>
      <c r="J58" s="41"/>
      <c r="K58" s="41"/>
      <c r="L58" s="31"/>
      <c r="M58" s="31"/>
    </row>
    <row r="59" spans="1:13" x14ac:dyDescent="0.2">
      <c r="A59" s="24"/>
      <c r="B59" s="25"/>
      <c r="C59" s="40"/>
      <c r="D59" s="40"/>
      <c r="E59" s="40"/>
      <c r="F59" s="40"/>
      <c r="G59" s="40"/>
      <c r="H59" s="41"/>
      <c r="I59" s="41"/>
      <c r="J59" s="41"/>
      <c r="K59" s="41"/>
      <c r="L59" s="31"/>
      <c r="M59" s="31"/>
    </row>
    <row r="60" spans="1:13" x14ac:dyDescent="0.2">
      <c r="A60" s="24"/>
      <c r="B60" s="25"/>
      <c r="C60" s="40"/>
      <c r="D60" s="40"/>
      <c r="E60" s="40"/>
      <c r="F60" s="40"/>
      <c r="G60" s="40"/>
      <c r="H60" s="41"/>
      <c r="I60" s="41"/>
      <c r="J60" s="41"/>
      <c r="K60" s="41"/>
      <c r="L60" s="31"/>
      <c r="M60" s="31"/>
    </row>
    <row r="61" spans="1:13" x14ac:dyDescent="0.2">
      <c r="A61" s="24"/>
      <c r="B61" s="25"/>
      <c r="C61" s="40"/>
      <c r="D61" s="40"/>
      <c r="E61" s="40"/>
      <c r="F61" s="40"/>
      <c r="G61" s="40"/>
      <c r="H61" s="41"/>
      <c r="I61" s="41"/>
      <c r="J61" s="41"/>
      <c r="K61" s="41"/>
      <c r="L61" s="31"/>
      <c r="M61" s="31"/>
    </row>
    <row r="62" spans="1:13" x14ac:dyDescent="0.2">
      <c r="A62" s="24"/>
      <c r="B62" s="25"/>
      <c r="C62" s="40"/>
      <c r="D62" s="40"/>
      <c r="E62" s="40"/>
      <c r="F62" s="40"/>
      <c r="G62" s="40"/>
      <c r="H62" s="41"/>
      <c r="I62" s="41"/>
      <c r="J62" s="41"/>
      <c r="K62" s="41"/>
      <c r="L62" s="31"/>
      <c r="M62" s="31"/>
    </row>
    <row r="63" spans="1:13" x14ac:dyDescent="0.2">
      <c r="A63" s="24"/>
      <c r="B63" s="25"/>
      <c r="C63" s="40"/>
      <c r="D63" s="40"/>
      <c r="E63" s="40"/>
      <c r="F63" s="40"/>
      <c r="G63" s="40"/>
      <c r="H63" s="41"/>
      <c r="I63" s="41"/>
      <c r="J63" s="41"/>
      <c r="K63" s="41"/>
      <c r="L63" s="31"/>
      <c r="M63" s="31"/>
    </row>
    <row r="64" spans="1:13" x14ac:dyDescent="0.2">
      <c r="A64" s="24"/>
      <c r="B64" s="25"/>
      <c r="C64" s="40"/>
      <c r="D64" s="40"/>
      <c r="E64" s="40"/>
      <c r="F64" s="40"/>
      <c r="G64" s="40"/>
      <c r="H64" s="41"/>
      <c r="I64" s="41"/>
      <c r="J64" s="41"/>
      <c r="K64" s="41"/>
      <c r="L64" s="31"/>
      <c r="M64" s="31"/>
    </row>
    <row r="65" spans="1:13" x14ac:dyDescent="0.2">
      <c r="A65" s="24"/>
      <c r="B65" s="25"/>
      <c r="C65" s="40"/>
      <c r="D65" s="40"/>
      <c r="E65" s="40"/>
      <c r="F65" s="40"/>
      <c r="G65" s="40"/>
      <c r="H65" s="41"/>
      <c r="I65" s="41"/>
      <c r="J65" s="41"/>
      <c r="K65" s="41"/>
      <c r="L65" s="31"/>
      <c r="M65" s="31"/>
    </row>
    <row r="66" spans="1:13" x14ac:dyDescent="0.2">
      <c r="A66" s="24"/>
      <c r="B66" s="25"/>
      <c r="C66" s="40"/>
      <c r="D66" s="40"/>
      <c r="E66" s="40"/>
      <c r="F66" s="40"/>
      <c r="G66" s="40"/>
      <c r="H66" s="41"/>
      <c r="I66" s="41"/>
      <c r="J66" s="41"/>
      <c r="K66" s="41"/>
      <c r="L66" s="31"/>
      <c r="M66" s="31"/>
    </row>
    <row r="67" spans="1:13" x14ac:dyDescent="0.2">
      <c r="A67" s="24"/>
      <c r="B67" s="25"/>
      <c r="C67" s="40"/>
      <c r="D67" s="40"/>
      <c r="E67" s="40"/>
      <c r="F67" s="40"/>
      <c r="G67" s="40"/>
      <c r="H67" s="41"/>
      <c r="I67" s="41"/>
      <c r="J67" s="41"/>
      <c r="K67" s="41"/>
      <c r="L67" s="31"/>
      <c r="M67" s="31"/>
    </row>
    <row r="68" spans="1:13" x14ac:dyDescent="0.2">
      <c r="A68" s="24"/>
      <c r="B68" s="25"/>
      <c r="C68" s="40"/>
      <c r="D68" s="40"/>
      <c r="E68" s="40"/>
      <c r="F68" s="40"/>
      <c r="G68" s="40"/>
      <c r="H68" s="41"/>
      <c r="I68" s="41"/>
      <c r="J68" s="41"/>
      <c r="K68" s="41"/>
      <c r="L68" s="31"/>
      <c r="M68" s="31"/>
    </row>
    <row r="69" spans="1:13" x14ac:dyDescent="0.2">
      <c r="A69" s="24"/>
      <c r="B69" s="25"/>
      <c r="C69" s="40"/>
      <c r="D69" s="40"/>
      <c r="E69" s="40"/>
      <c r="F69" s="40"/>
      <c r="G69" s="40"/>
      <c r="H69" s="41"/>
      <c r="I69" s="41"/>
      <c r="J69" s="41"/>
      <c r="K69" s="41"/>
      <c r="L69" s="31"/>
      <c r="M69" s="31"/>
    </row>
    <row r="70" spans="1:13" x14ac:dyDescent="0.2">
      <c r="A70" s="24"/>
      <c r="B70" s="25"/>
      <c r="C70" s="40"/>
      <c r="D70" s="40"/>
      <c r="E70" s="40"/>
      <c r="F70" s="40"/>
      <c r="G70" s="40"/>
      <c r="H70" s="41"/>
      <c r="I70" s="41"/>
      <c r="J70" s="41"/>
      <c r="K70" s="41"/>
      <c r="L70" s="31"/>
      <c r="M70" s="31"/>
    </row>
    <row r="71" spans="1:13" x14ac:dyDescent="0.2">
      <c r="A71" s="24"/>
      <c r="B71" s="25"/>
      <c r="C71" s="40"/>
      <c r="D71" s="40"/>
      <c r="E71" s="40"/>
      <c r="F71" s="40"/>
      <c r="G71" s="40"/>
      <c r="H71" s="41"/>
      <c r="I71" s="41"/>
      <c r="J71" s="41"/>
      <c r="K71" s="41"/>
      <c r="L71" s="31"/>
      <c r="M71" s="31"/>
    </row>
    <row r="72" spans="1:13" x14ac:dyDescent="0.2">
      <c r="A72" s="24"/>
      <c r="B72" s="25"/>
      <c r="C72" s="40"/>
      <c r="D72" s="40"/>
      <c r="E72" s="40"/>
      <c r="F72" s="40"/>
      <c r="G72" s="40"/>
      <c r="H72" s="41"/>
      <c r="I72" s="41"/>
      <c r="J72" s="41"/>
      <c r="K72" s="41"/>
      <c r="L72" s="31"/>
      <c r="M72" s="31"/>
    </row>
    <row r="73" spans="1:13" x14ac:dyDescent="0.2">
      <c r="A73" s="24"/>
      <c r="B73" s="25"/>
      <c r="C73" s="40"/>
      <c r="D73" s="40"/>
      <c r="E73" s="40"/>
      <c r="F73" s="40"/>
      <c r="G73" s="40"/>
      <c r="H73" s="41"/>
      <c r="I73" s="41"/>
      <c r="J73" s="41"/>
      <c r="K73" s="41"/>
      <c r="L73" s="31"/>
      <c r="M73" s="31"/>
    </row>
    <row r="74" spans="1:13" x14ac:dyDescent="0.2">
      <c r="A74" s="24"/>
      <c r="B74" s="25"/>
      <c r="C74" s="40"/>
      <c r="D74" s="40"/>
      <c r="E74" s="40"/>
      <c r="F74" s="40"/>
      <c r="G74" s="40"/>
      <c r="H74" s="41"/>
      <c r="I74" s="41"/>
      <c r="J74" s="41"/>
      <c r="K74" s="41"/>
      <c r="L74" s="31"/>
      <c r="M74" s="31"/>
    </row>
    <row r="75" spans="1:13" x14ac:dyDescent="0.2">
      <c r="A75" s="24"/>
      <c r="B75" s="25"/>
      <c r="C75" s="40"/>
      <c r="D75" s="40"/>
      <c r="E75" s="40"/>
      <c r="F75" s="40"/>
      <c r="G75" s="40"/>
      <c r="H75" s="41"/>
      <c r="I75" s="41"/>
      <c r="J75" s="41"/>
      <c r="K75" s="41"/>
      <c r="L75" s="31"/>
      <c r="M75" s="31"/>
    </row>
    <row r="76" spans="1:13" x14ac:dyDescent="0.2">
      <c r="A76" s="24"/>
      <c r="B76" s="25"/>
      <c r="C76" s="40"/>
      <c r="D76" s="40"/>
      <c r="E76" s="40"/>
      <c r="F76" s="40"/>
      <c r="G76" s="40"/>
      <c r="H76" s="41"/>
      <c r="I76" s="41"/>
      <c r="J76" s="41"/>
      <c r="K76" s="41"/>
      <c r="L76" s="31"/>
      <c r="M76" s="31"/>
    </row>
    <row r="77" spans="1:13" x14ac:dyDescent="0.2">
      <c r="A77" s="24"/>
      <c r="B77" s="25"/>
      <c r="C77" s="40"/>
      <c r="D77" s="40"/>
      <c r="E77" s="40"/>
      <c r="F77" s="40"/>
      <c r="G77" s="40"/>
      <c r="H77" s="41"/>
      <c r="I77" s="41"/>
      <c r="J77" s="41"/>
      <c r="K77" s="41"/>
      <c r="L77" s="31"/>
      <c r="M77" s="31"/>
    </row>
    <row r="78" spans="1:13" x14ac:dyDescent="0.2">
      <c r="A78" s="24"/>
      <c r="B78" s="25"/>
      <c r="C78" s="40"/>
      <c r="D78" s="40"/>
      <c r="E78" s="40"/>
      <c r="F78" s="40"/>
      <c r="G78" s="40"/>
      <c r="H78" s="41"/>
      <c r="I78" s="41"/>
      <c r="J78" s="41"/>
      <c r="K78" s="41"/>
      <c r="L78" s="31"/>
      <c r="M78" s="31"/>
    </row>
    <row r="79" spans="1:13" x14ac:dyDescent="0.2">
      <c r="A79" s="24"/>
      <c r="B79" s="25"/>
      <c r="C79" s="40"/>
      <c r="D79" s="40"/>
      <c r="E79" s="40"/>
      <c r="F79" s="40"/>
      <c r="G79" s="40"/>
      <c r="H79" s="41"/>
      <c r="I79" s="41"/>
      <c r="J79" s="41"/>
      <c r="K79" s="41"/>
      <c r="L79" s="31"/>
      <c r="M79" s="31"/>
    </row>
    <row r="80" spans="1:13" x14ac:dyDescent="0.2">
      <c r="A80" s="24"/>
      <c r="B80" s="25"/>
      <c r="C80" s="40"/>
      <c r="D80" s="40"/>
      <c r="E80" s="40"/>
      <c r="F80" s="40"/>
      <c r="G80" s="40"/>
      <c r="H80" s="41"/>
      <c r="I80" s="41"/>
      <c r="J80" s="41"/>
      <c r="K80" s="41"/>
      <c r="L80" s="31"/>
      <c r="M80" s="31"/>
    </row>
    <row r="81" spans="1:13" x14ac:dyDescent="0.2">
      <c r="A81" s="24"/>
      <c r="B81" s="25"/>
      <c r="C81" s="40"/>
      <c r="D81" s="40"/>
      <c r="E81" s="40"/>
      <c r="F81" s="40"/>
      <c r="G81" s="40"/>
      <c r="H81" s="41"/>
      <c r="I81" s="41"/>
      <c r="J81" s="41"/>
      <c r="K81" s="41"/>
      <c r="L81" s="31"/>
      <c r="M81" s="31"/>
    </row>
    <row r="82" spans="1:13" x14ac:dyDescent="0.2">
      <c r="A82" s="24"/>
      <c r="B82" s="25"/>
      <c r="C82" s="40"/>
      <c r="D82" s="40"/>
      <c r="E82" s="40"/>
      <c r="F82" s="40"/>
      <c r="G82" s="40"/>
      <c r="H82" s="41"/>
      <c r="I82" s="41"/>
      <c r="J82" s="41"/>
      <c r="K82" s="41"/>
      <c r="L82" s="31"/>
      <c r="M82" s="31"/>
    </row>
    <row r="83" spans="1:13" x14ac:dyDescent="0.2">
      <c r="A83" s="24"/>
      <c r="B83" s="25"/>
      <c r="C83" s="40"/>
      <c r="D83" s="40"/>
      <c r="E83" s="40"/>
      <c r="F83" s="40"/>
      <c r="G83" s="40"/>
      <c r="H83" s="41"/>
      <c r="I83" s="41"/>
      <c r="J83" s="41"/>
      <c r="K83" s="41"/>
      <c r="L83" s="31"/>
      <c r="M83" s="31"/>
    </row>
    <row r="84" spans="1:13" x14ac:dyDescent="0.2">
      <c r="A84" s="24"/>
      <c r="B84" s="25"/>
      <c r="C84" s="40"/>
      <c r="D84" s="40"/>
      <c r="E84" s="40"/>
      <c r="F84" s="40"/>
      <c r="G84" s="40"/>
      <c r="H84" s="41"/>
      <c r="I84" s="41"/>
      <c r="J84" s="41"/>
      <c r="K84" s="41"/>
      <c r="L84" s="31"/>
      <c r="M84" s="31"/>
    </row>
    <row r="85" spans="1:13" x14ac:dyDescent="0.2">
      <c r="A85" s="24"/>
      <c r="B85" s="25"/>
      <c r="C85" s="40"/>
      <c r="D85" s="40"/>
      <c r="E85" s="40"/>
      <c r="F85" s="40"/>
      <c r="G85" s="40"/>
      <c r="H85" s="41"/>
      <c r="I85" s="41"/>
      <c r="J85" s="41"/>
      <c r="K85" s="41"/>
      <c r="L85" s="31"/>
      <c r="M85" s="31"/>
    </row>
    <row r="86" spans="1:13" x14ac:dyDescent="0.2">
      <c r="A86" s="24"/>
      <c r="B86" s="25"/>
      <c r="C86" s="40"/>
      <c r="D86" s="40"/>
      <c r="E86" s="40"/>
      <c r="F86" s="40"/>
      <c r="G86" s="40"/>
      <c r="H86" s="41"/>
      <c r="I86" s="41"/>
      <c r="J86" s="41"/>
      <c r="K86" s="41"/>
      <c r="L86" s="31"/>
      <c r="M86" s="31"/>
    </row>
    <row r="87" spans="1:13" x14ac:dyDescent="0.2">
      <c r="A87" s="24"/>
      <c r="B87" s="25"/>
      <c r="C87" s="40"/>
      <c r="D87" s="40"/>
      <c r="E87" s="40"/>
      <c r="F87" s="40"/>
      <c r="G87" s="40"/>
      <c r="H87" s="41"/>
      <c r="I87" s="41"/>
      <c r="J87" s="41"/>
      <c r="K87" s="41"/>
      <c r="L87" s="31"/>
      <c r="M87" s="31"/>
    </row>
    <row r="88" spans="1:13" x14ac:dyDescent="0.2">
      <c r="A88" s="24"/>
      <c r="B88" s="25"/>
      <c r="C88" s="40"/>
      <c r="D88" s="40"/>
      <c r="E88" s="40"/>
      <c r="F88" s="40"/>
      <c r="G88" s="40"/>
      <c r="H88" s="41"/>
      <c r="I88" s="41"/>
      <c r="J88" s="41"/>
      <c r="K88" s="41"/>
      <c r="L88" s="31"/>
      <c r="M88" s="31"/>
    </row>
    <row r="89" spans="1:13" x14ac:dyDescent="0.2">
      <c r="A89" s="24"/>
      <c r="B89" s="25"/>
      <c r="C89" s="40"/>
      <c r="D89" s="40"/>
      <c r="E89" s="40"/>
      <c r="F89" s="40"/>
      <c r="G89" s="40"/>
      <c r="H89" s="41"/>
      <c r="I89" s="41"/>
      <c r="J89" s="41"/>
      <c r="K89" s="41"/>
      <c r="L89" s="31"/>
      <c r="M89" s="31"/>
    </row>
    <row r="90" spans="1:13" x14ac:dyDescent="0.2">
      <c r="A90" s="24"/>
      <c r="B90" s="25"/>
      <c r="C90" s="40"/>
      <c r="D90" s="40"/>
      <c r="E90" s="40"/>
      <c r="F90" s="40"/>
      <c r="G90" s="40"/>
      <c r="H90" s="41"/>
      <c r="I90" s="41"/>
      <c r="J90" s="41"/>
      <c r="K90" s="41"/>
      <c r="L90" s="31"/>
      <c r="M90" s="31"/>
    </row>
    <row r="91" spans="1:13" x14ac:dyDescent="0.2">
      <c r="A91" s="24"/>
      <c r="B91" s="25"/>
      <c r="C91" s="40"/>
      <c r="D91" s="40"/>
      <c r="E91" s="40"/>
      <c r="F91" s="40"/>
      <c r="G91" s="40"/>
      <c r="H91" s="41"/>
      <c r="I91" s="41"/>
      <c r="J91" s="41"/>
      <c r="K91" s="41"/>
      <c r="L91" s="31"/>
      <c r="M91" s="31"/>
    </row>
    <row r="92" spans="1:13" x14ac:dyDescent="0.2">
      <c r="A92" s="24"/>
      <c r="B92" s="25"/>
      <c r="C92" s="40"/>
      <c r="D92" s="40"/>
      <c r="E92" s="40"/>
      <c r="F92" s="40"/>
      <c r="G92" s="40"/>
      <c r="H92" s="41"/>
      <c r="I92" s="41"/>
      <c r="J92" s="41"/>
      <c r="K92" s="41"/>
      <c r="L92" s="31"/>
      <c r="M92" s="31"/>
    </row>
    <row r="93" spans="1:13" x14ac:dyDescent="0.2">
      <c r="A93" s="24"/>
      <c r="B93" s="25"/>
      <c r="C93" s="40"/>
      <c r="D93" s="40"/>
      <c r="E93" s="40"/>
      <c r="F93" s="40"/>
      <c r="G93" s="40"/>
      <c r="H93" s="41"/>
      <c r="I93" s="41"/>
      <c r="J93" s="41"/>
      <c r="K93" s="41"/>
      <c r="L93" s="31"/>
      <c r="M93" s="31"/>
    </row>
    <row r="94" spans="1:13" x14ac:dyDescent="0.2">
      <c r="A94" s="24"/>
      <c r="B94" s="25"/>
      <c r="C94" s="40"/>
      <c r="D94" s="40"/>
      <c r="E94" s="40"/>
      <c r="F94" s="40"/>
      <c r="G94" s="40"/>
      <c r="H94" s="41"/>
      <c r="I94" s="41"/>
      <c r="J94" s="41"/>
      <c r="K94" s="41"/>
      <c r="L94" s="31"/>
      <c r="M94" s="31"/>
    </row>
    <row r="95" spans="1:13" x14ac:dyDescent="0.2">
      <c r="A95" s="24"/>
      <c r="B95" s="25"/>
      <c r="C95" s="40"/>
      <c r="D95" s="40"/>
      <c r="E95" s="40"/>
      <c r="F95" s="40"/>
      <c r="G95" s="40"/>
      <c r="H95" s="41"/>
      <c r="I95" s="41"/>
      <c r="J95" s="41"/>
      <c r="K95" s="41"/>
      <c r="L95" s="31"/>
      <c r="M95" s="31"/>
    </row>
    <row r="96" spans="1:13" x14ac:dyDescent="0.2">
      <c r="A96" s="24"/>
      <c r="B96" s="25"/>
      <c r="C96" s="40"/>
      <c r="D96" s="40"/>
      <c r="E96" s="40"/>
      <c r="F96" s="40"/>
      <c r="G96" s="40"/>
      <c r="H96" s="41"/>
      <c r="I96" s="41"/>
      <c r="J96" s="41"/>
      <c r="K96" s="41"/>
      <c r="L96" s="31"/>
      <c r="M96" s="31"/>
    </row>
    <row r="97" spans="1:13" x14ac:dyDescent="0.2">
      <c r="A97" s="24"/>
      <c r="B97" s="25"/>
      <c r="C97" s="40"/>
      <c r="D97" s="40"/>
      <c r="E97" s="40"/>
      <c r="F97" s="40"/>
      <c r="G97" s="40"/>
      <c r="H97" s="41"/>
      <c r="I97" s="41"/>
      <c r="J97" s="41"/>
      <c r="K97" s="41"/>
      <c r="L97" s="31"/>
      <c r="M97" s="31"/>
    </row>
    <row r="98" spans="1:13" x14ac:dyDescent="0.2">
      <c r="A98" s="24"/>
      <c r="B98" s="25"/>
      <c r="C98" s="40"/>
      <c r="D98" s="40"/>
      <c r="E98" s="40"/>
      <c r="F98" s="40"/>
      <c r="G98" s="40"/>
      <c r="H98" s="41"/>
      <c r="I98" s="41"/>
      <c r="J98" s="41"/>
      <c r="K98" s="41"/>
      <c r="L98" s="31"/>
      <c r="M98" s="31"/>
    </row>
    <row r="99" spans="1:13" x14ac:dyDescent="0.2">
      <c r="A99" s="24"/>
      <c r="B99" s="25"/>
      <c r="C99" s="40"/>
      <c r="D99" s="40"/>
      <c r="E99" s="40"/>
      <c r="F99" s="40"/>
      <c r="G99" s="40"/>
      <c r="H99" s="41"/>
      <c r="I99" s="41"/>
      <c r="J99" s="41"/>
      <c r="K99" s="41"/>
      <c r="L99" s="31"/>
      <c r="M99" s="31"/>
    </row>
    <row r="100" spans="1:13" x14ac:dyDescent="0.2">
      <c r="A100" s="24"/>
      <c r="B100" s="25"/>
      <c r="C100" s="40"/>
      <c r="D100" s="40"/>
      <c r="E100" s="40"/>
      <c r="F100" s="40"/>
      <c r="G100" s="40"/>
      <c r="H100" s="41"/>
      <c r="I100" s="41"/>
      <c r="J100" s="41"/>
      <c r="K100" s="41"/>
      <c r="L100" s="31"/>
      <c r="M100" s="31"/>
    </row>
  </sheetData>
  <conditionalFormatting sqref="C6:G100">
    <cfRule type="cellIs" dxfId="16" priority="4" operator="lessThan">
      <formula>22</formula>
    </cfRule>
    <cfRule type="cellIs" dxfId="15" priority="5" operator="greaterThan">
      <formula>36</formula>
    </cfRule>
  </conditionalFormatting>
  <conditionalFormatting sqref="H6:K100">
    <cfRule type="cellIs" dxfId="14" priority="2" operator="lessThan">
      <formula>3</formula>
    </cfRule>
    <cfRule type="cellIs" dxfId="13" priority="3" operator="between">
      <formula>3</formula>
      <formula>4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F22"/>
  <sheetViews>
    <sheetView zoomScaleNormal="100" workbookViewId="0">
      <pane ySplit="5" topLeftCell="A6" activePane="bottomLeft" state="frozen"/>
      <selection pane="bottomLeft"/>
    </sheetView>
  </sheetViews>
  <sheetFormatPr defaultColWidth="8.7421875" defaultRowHeight="15" x14ac:dyDescent="0.2"/>
  <cols>
    <col min="1" max="1" width="29.7265625" customWidth="1"/>
    <col min="2" max="4" width="18.0234375" customWidth="1"/>
    <col min="5" max="5" width="11.97265625" customWidth="1"/>
    <col min="6" max="6" width="59.1875" customWidth="1"/>
  </cols>
  <sheetData>
    <row r="1" spans="1:6" ht="20.25" x14ac:dyDescent="0.25">
      <c r="A1" s="1" t="s">
        <v>376</v>
      </c>
    </row>
    <row r="2" spans="1:6" x14ac:dyDescent="0.2">
      <c r="A2" s="2" t="s">
        <v>377</v>
      </c>
    </row>
    <row r="3" spans="1:6" x14ac:dyDescent="0.2">
      <c r="A3" s="2" t="s">
        <v>378</v>
      </c>
    </row>
    <row r="5" spans="1:6" ht="27.75" customHeight="1" x14ac:dyDescent="0.2">
      <c r="A5" s="17" t="s">
        <v>184</v>
      </c>
      <c r="B5" s="17" t="s">
        <v>379</v>
      </c>
      <c r="C5" s="17" t="s">
        <v>380</v>
      </c>
      <c r="D5" s="17" t="s">
        <v>381</v>
      </c>
      <c r="E5" s="17" t="s">
        <v>382</v>
      </c>
      <c r="F5" s="17" t="s">
        <v>190</v>
      </c>
    </row>
    <row r="6" spans="1:6" x14ac:dyDescent="0.2">
      <c r="A6" s="31" t="s">
        <v>197</v>
      </c>
      <c r="B6" s="42">
        <v>4200</v>
      </c>
      <c r="C6" s="43">
        <f ca="1">SUMIFS('Expenses Log'!E:E,'Expenses Log'!A:A,"&gt;="&amp;DATE(YEAR(TODAY()),1,1),'Expenses Log'!B:B,A6)</f>
        <v>725.69999999999993</v>
      </c>
      <c r="D6" s="43">
        <f t="shared" ref="D6:D17" ca="1" si="0">B6-C6</f>
        <v>3474.3</v>
      </c>
      <c r="E6" s="44">
        <f t="shared" ref="E6:E18" ca="1" si="1">IFERROR(C6/B6,0)</f>
        <v>0.17278571428571426</v>
      </c>
      <c r="F6" s="84" t="s">
        <v>573</v>
      </c>
    </row>
    <row r="7" spans="1:6" x14ac:dyDescent="0.2">
      <c r="A7" s="31" t="s">
        <v>203</v>
      </c>
      <c r="B7" s="42">
        <v>400</v>
      </c>
      <c r="C7" s="43">
        <f ca="1">SUMIFS('Expenses Log'!E:E,'Expenses Log'!A:A,"&gt;="&amp;DATE(YEAR(TODAY()),1,1),'Expenses Log'!B:B,A7)</f>
        <v>570</v>
      </c>
      <c r="D7" s="43">
        <f t="shared" ca="1" si="0"/>
        <v>-170</v>
      </c>
      <c r="E7" s="44">
        <f t="shared" ca="1" si="1"/>
        <v>1.425</v>
      </c>
      <c r="F7" s="45" t="s">
        <v>530</v>
      </c>
    </row>
    <row r="8" spans="1:6" x14ac:dyDescent="0.2">
      <c r="A8" s="31" t="s">
        <v>209</v>
      </c>
      <c r="B8" s="42">
        <v>300</v>
      </c>
      <c r="C8" s="43">
        <f ca="1">SUMIFS('Expenses Log'!E:E,'Expenses Log'!A:A,"&gt;="&amp;DATE(YEAR(TODAY()),1,1),'Expenses Log'!B:B,A8)</f>
        <v>0</v>
      </c>
      <c r="D8" s="43">
        <f t="shared" ca="1" si="0"/>
        <v>300</v>
      </c>
      <c r="E8" s="44">
        <f t="shared" ca="1" si="1"/>
        <v>0</v>
      </c>
      <c r="F8" s="45" t="s">
        <v>383</v>
      </c>
    </row>
    <row r="9" spans="1:6" x14ac:dyDescent="0.2">
      <c r="A9" s="31" t="s">
        <v>210</v>
      </c>
      <c r="B9" s="42">
        <v>150</v>
      </c>
      <c r="C9" s="43">
        <f ca="1">SUMIFS('Expenses Log'!E:E,'Expenses Log'!A:A,"&gt;="&amp;DATE(YEAR(TODAY()),1,1),'Expenses Log'!B:B,A9)</f>
        <v>33.99</v>
      </c>
      <c r="D9" s="43">
        <f t="shared" ca="1" si="0"/>
        <v>116.00999999999999</v>
      </c>
      <c r="E9" s="44">
        <f t="shared" ca="1" si="1"/>
        <v>0.22660000000000002</v>
      </c>
      <c r="F9" s="45" t="s">
        <v>384</v>
      </c>
    </row>
    <row r="10" spans="1:6" x14ac:dyDescent="0.2">
      <c r="A10" s="31" t="s">
        <v>198</v>
      </c>
      <c r="B10" s="42">
        <v>517.14</v>
      </c>
      <c r="C10" s="43">
        <f ca="1">SUMIFS('Expenses Log'!E:E,'Expenses Log'!A:A,"&gt;="&amp;DATE(YEAR(TODAY()),1,1),'Expenses Log'!B:B,A10)</f>
        <v>517.14</v>
      </c>
      <c r="D10" s="43">
        <f t="shared" ca="1" si="0"/>
        <v>0</v>
      </c>
      <c r="E10" s="44">
        <f t="shared" ca="1" si="1"/>
        <v>1</v>
      </c>
      <c r="F10" s="45" t="s">
        <v>385</v>
      </c>
    </row>
    <row r="11" spans="1:6" x14ac:dyDescent="0.2">
      <c r="A11" s="31" t="s">
        <v>204</v>
      </c>
      <c r="B11" s="42">
        <v>430</v>
      </c>
      <c r="C11" s="43">
        <f ca="1">SUMIFS('Expenses Log'!E:E,'Expenses Log'!A:A,"&gt;="&amp;DATE(YEAR(TODAY()),1,1),'Expenses Log'!B:B,A11)</f>
        <v>430</v>
      </c>
      <c r="D11" s="43">
        <f t="shared" ca="1" si="0"/>
        <v>0</v>
      </c>
      <c r="E11" s="44">
        <f t="shared" ca="1" si="1"/>
        <v>1</v>
      </c>
      <c r="F11" s="45" t="s">
        <v>386</v>
      </c>
    </row>
    <row r="12" spans="1:6" x14ac:dyDescent="0.2">
      <c r="A12" s="31" t="s">
        <v>211</v>
      </c>
      <c r="B12" s="42">
        <v>55</v>
      </c>
      <c r="C12" s="43">
        <f ca="1">SUMIFS('Expenses Log'!E:E,'Expenses Log'!A:A,"&gt;="&amp;DATE(YEAR(TODAY()),1,1),'Expenses Log'!B:B,A12)</f>
        <v>58</v>
      </c>
      <c r="D12" s="43">
        <f t="shared" ca="1" si="0"/>
        <v>-3</v>
      </c>
      <c r="E12" s="44">
        <f t="shared" ca="1" si="1"/>
        <v>1.0545454545454545</v>
      </c>
      <c r="F12" s="45" t="s">
        <v>387</v>
      </c>
    </row>
    <row r="13" spans="1:6" x14ac:dyDescent="0.2">
      <c r="A13" s="31" t="s">
        <v>212</v>
      </c>
      <c r="B13" s="42">
        <v>120</v>
      </c>
      <c r="C13" s="43">
        <f ca="1">SUMIFS('Expenses Log'!E:E,'Expenses Log'!A:A,"&gt;="&amp;DATE(YEAR(TODAY()),1,1),'Expenses Log'!B:B,A13)</f>
        <v>40</v>
      </c>
      <c r="D13" s="43">
        <f t="shared" ca="1" si="0"/>
        <v>80</v>
      </c>
      <c r="E13" s="44">
        <f t="shared" ca="1" si="1"/>
        <v>0.33333333333333331</v>
      </c>
      <c r="F13" s="45" t="s">
        <v>388</v>
      </c>
    </row>
    <row r="14" spans="1:6" x14ac:dyDescent="0.2">
      <c r="A14" s="31" t="s">
        <v>173</v>
      </c>
      <c r="B14" s="42">
        <f>200*6</f>
        <v>1200</v>
      </c>
      <c r="C14" s="43">
        <f ca="1">SUMIFS('Expenses Log'!E:E,'Expenses Log'!A:A,"&gt;="&amp;DATE(YEAR(TODAY()),1,1),'Expenses Log'!B:B,A14)</f>
        <v>440</v>
      </c>
      <c r="D14" s="43">
        <f t="shared" ca="1" si="0"/>
        <v>760</v>
      </c>
      <c r="E14" s="44">
        <f t="shared" ca="1" si="1"/>
        <v>0.36666666666666664</v>
      </c>
      <c r="F14" s="45" t="s">
        <v>389</v>
      </c>
    </row>
    <row r="15" spans="1:6" x14ac:dyDescent="0.2">
      <c r="A15" s="31" t="s">
        <v>213</v>
      </c>
      <c r="B15" s="42">
        <v>400</v>
      </c>
      <c r="C15" s="43">
        <f ca="1">SUMIFS('Expenses Log'!E:E,'Expenses Log'!A:A,"&gt;="&amp;DATE(YEAR(TODAY()),1,1),'Expenses Log'!B:B,A15)</f>
        <v>631.88</v>
      </c>
      <c r="D15" s="43">
        <f t="shared" ca="1" si="0"/>
        <v>-231.88</v>
      </c>
      <c r="E15" s="44">
        <f t="shared" ca="1" si="1"/>
        <v>1.5796999999999999</v>
      </c>
      <c r="F15" s="84" t="s">
        <v>574</v>
      </c>
    </row>
    <row r="16" spans="1:6" x14ac:dyDescent="0.2">
      <c r="A16" s="31" t="s">
        <v>214</v>
      </c>
      <c r="B16" s="42">
        <v>0</v>
      </c>
      <c r="C16" s="43">
        <f ca="1">SUMIFS('Expenses Log'!E:E,'Expenses Log'!A:A,"&gt;="&amp;DATE(YEAR(TODAY()),1,1),'Expenses Log'!B:B,A16)</f>
        <v>0</v>
      </c>
      <c r="D16" s="43">
        <f t="shared" ca="1" si="0"/>
        <v>0</v>
      </c>
      <c r="E16" s="44">
        <f t="shared" ca="1" si="1"/>
        <v>0</v>
      </c>
      <c r="F16" s="45" t="s">
        <v>390</v>
      </c>
    </row>
    <row r="17" spans="1:6" x14ac:dyDescent="0.2">
      <c r="A17" s="31" t="s">
        <v>215</v>
      </c>
      <c r="B17" s="42">
        <v>200</v>
      </c>
      <c r="C17" s="43">
        <f ca="1">SUMIFS('Expenses Log'!E:E,'Expenses Log'!A:A,"&gt;="&amp;DATE(YEAR(TODAY()),1,1),'Expenses Log'!B:B,A17)</f>
        <v>0</v>
      </c>
      <c r="D17" s="43">
        <f t="shared" ca="1" si="0"/>
        <v>200</v>
      </c>
      <c r="E17" s="44">
        <f t="shared" ca="1" si="1"/>
        <v>0</v>
      </c>
      <c r="F17" s="45" t="s">
        <v>391</v>
      </c>
    </row>
    <row r="18" spans="1:6" x14ac:dyDescent="0.2">
      <c r="A18" s="21" t="s">
        <v>392</v>
      </c>
      <c r="B18" s="23">
        <f>SUM(B6:B17)</f>
        <v>7972.14</v>
      </c>
      <c r="C18" s="23">
        <f ca="1">SUM(C6:C17)</f>
        <v>3446.71</v>
      </c>
      <c r="D18" s="23">
        <f ca="1">SUM(D6:D17)</f>
        <v>4525.43</v>
      </c>
      <c r="E18" s="46">
        <f t="shared" ca="1" si="1"/>
        <v>0.43234438933586211</v>
      </c>
    </row>
    <row r="21" spans="1:6" x14ac:dyDescent="0.2">
      <c r="A21" s="47" t="s">
        <v>393</v>
      </c>
    </row>
    <row r="22" spans="1:6" x14ac:dyDescent="0.2">
      <c r="A22" s="39" t="s">
        <v>394</v>
      </c>
      <c r="B22" s="48">
        <f>IFERROR(B18/16000,0)</f>
        <v>0.49825875000000003</v>
      </c>
      <c r="C22" s="84" t="s">
        <v>575</v>
      </c>
    </row>
  </sheetData>
  <conditionalFormatting sqref="E6:E17">
    <cfRule type="cellIs" dxfId="12" priority="2" operator="greaterThan">
      <formula>1</formula>
    </cfRule>
    <cfRule type="cellIs" dxfId="11" priority="3" operator="between">
      <formula>0.8</formula>
      <formula>1</formula>
    </cfRule>
    <cfRule type="cellIs" dxfId="10" priority="4" operator="lessThan">
      <formula>0.8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H32"/>
  <sheetViews>
    <sheetView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29.99609375" customWidth="1"/>
    <col min="2" max="2" width="11.97265625" customWidth="1"/>
    <col min="3" max="3" width="15.19921875" customWidth="1"/>
    <col min="4" max="4" width="18.16015625" customWidth="1"/>
    <col min="5" max="6" width="39.953125" customWidth="1"/>
    <col min="7" max="7" width="19.50390625" customWidth="1"/>
    <col min="8" max="8" width="13.98828125" customWidth="1"/>
  </cols>
  <sheetData>
    <row r="1" spans="1:8" ht="20.25" x14ac:dyDescent="0.25">
      <c r="A1" s="1" t="s">
        <v>395</v>
      </c>
    </row>
    <row r="2" spans="1:8" x14ac:dyDescent="0.2">
      <c r="A2" s="2" t="s">
        <v>396</v>
      </c>
    </row>
    <row r="4" spans="1:8" ht="27.75" customHeight="1" x14ac:dyDescent="0.2">
      <c r="A4" s="51" t="s">
        <v>397</v>
      </c>
      <c r="B4" s="52" t="s">
        <v>398</v>
      </c>
      <c r="C4" s="52" t="s">
        <v>399</v>
      </c>
      <c r="D4" s="52" t="s">
        <v>400</v>
      </c>
      <c r="E4" s="52" t="s">
        <v>401</v>
      </c>
      <c r="F4" s="52" t="s">
        <v>567</v>
      </c>
      <c r="G4" s="52" t="s">
        <v>402</v>
      </c>
      <c r="H4" s="52" t="s">
        <v>251</v>
      </c>
    </row>
    <row r="5" spans="1:8" ht="36" x14ac:dyDescent="0.2">
      <c r="A5" s="84" t="s">
        <v>570</v>
      </c>
      <c r="B5" s="15" t="s">
        <v>403</v>
      </c>
      <c r="C5" s="9">
        <v>46095</v>
      </c>
      <c r="D5" s="9">
        <v>46155</v>
      </c>
      <c r="E5" s="15" t="s">
        <v>404</v>
      </c>
      <c r="F5" s="15" t="s">
        <v>405</v>
      </c>
      <c r="G5" s="4">
        <v>500</v>
      </c>
      <c r="H5" s="83" t="s">
        <v>537</v>
      </c>
    </row>
    <row r="6" spans="1:8" ht="24.75" x14ac:dyDescent="0.2">
      <c r="A6" s="49" t="s">
        <v>407</v>
      </c>
      <c r="B6" s="15" t="s">
        <v>268</v>
      </c>
      <c r="C6" s="9">
        <v>45474</v>
      </c>
      <c r="D6" s="9">
        <v>46155</v>
      </c>
      <c r="E6" s="15" t="s">
        <v>408</v>
      </c>
      <c r="F6" s="15" t="s">
        <v>409</v>
      </c>
      <c r="G6" s="4">
        <v>80</v>
      </c>
      <c r="H6" s="91" t="s">
        <v>406</v>
      </c>
    </row>
    <row r="7" spans="1:8" ht="24.75" x14ac:dyDescent="0.2">
      <c r="A7" s="49" t="s">
        <v>410</v>
      </c>
      <c r="B7" s="15" t="s">
        <v>264</v>
      </c>
      <c r="C7" s="9">
        <v>45474</v>
      </c>
      <c r="D7" s="9">
        <v>46155</v>
      </c>
      <c r="E7" s="15" t="s">
        <v>411</v>
      </c>
      <c r="F7" s="15" t="s">
        <v>412</v>
      </c>
      <c r="G7" s="4">
        <v>150</v>
      </c>
      <c r="H7" s="91" t="s">
        <v>406</v>
      </c>
    </row>
    <row r="8" spans="1:8" ht="24.75" x14ac:dyDescent="0.2">
      <c r="A8" s="84" t="s">
        <v>571</v>
      </c>
      <c r="B8" s="15" t="s">
        <v>264</v>
      </c>
      <c r="C8" s="9">
        <v>46095</v>
      </c>
      <c r="D8" s="9">
        <v>46155</v>
      </c>
      <c r="E8" s="84" t="s">
        <v>413</v>
      </c>
      <c r="F8" s="15" t="s">
        <v>414</v>
      </c>
      <c r="G8" s="4">
        <v>350</v>
      </c>
      <c r="H8" s="83" t="s">
        <v>537</v>
      </c>
    </row>
    <row r="9" spans="1:8" ht="24.75" x14ac:dyDescent="0.2">
      <c r="A9" s="49" t="s">
        <v>415</v>
      </c>
      <c r="B9" s="15" t="s">
        <v>268</v>
      </c>
      <c r="C9" s="9">
        <v>45474</v>
      </c>
      <c r="D9" s="9">
        <v>46155</v>
      </c>
      <c r="E9" s="15" t="s">
        <v>416</v>
      </c>
      <c r="F9" s="15" t="s">
        <v>417</v>
      </c>
      <c r="G9" s="4">
        <v>5</v>
      </c>
      <c r="H9" s="91" t="s">
        <v>537</v>
      </c>
    </row>
    <row r="10" spans="1:8" ht="24.75" x14ac:dyDescent="0.2">
      <c r="A10" s="49" t="s">
        <v>418</v>
      </c>
      <c r="B10" s="15" t="s">
        <v>268</v>
      </c>
      <c r="C10" s="9">
        <v>46095</v>
      </c>
      <c r="D10" s="9">
        <v>46124</v>
      </c>
      <c r="E10" s="15" t="s">
        <v>419</v>
      </c>
      <c r="F10" s="15" t="s">
        <v>420</v>
      </c>
      <c r="G10" s="4">
        <v>50</v>
      </c>
      <c r="H10" s="83" t="s">
        <v>537</v>
      </c>
    </row>
    <row r="11" spans="1:8" ht="24.75" x14ac:dyDescent="0.2">
      <c r="A11" s="49" t="s">
        <v>421</v>
      </c>
      <c r="B11" s="15" t="s">
        <v>264</v>
      </c>
      <c r="C11" s="9">
        <v>46095</v>
      </c>
      <c r="D11" s="76">
        <v>46125</v>
      </c>
      <c r="E11" s="15" t="s">
        <v>422</v>
      </c>
      <c r="F11" s="15" t="s">
        <v>423</v>
      </c>
      <c r="G11" s="4">
        <v>12</v>
      </c>
      <c r="H11" s="83" t="s">
        <v>537</v>
      </c>
    </row>
    <row r="12" spans="1:8" x14ac:dyDescent="0.2">
      <c r="A12" s="49" t="s">
        <v>424</v>
      </c>
      <c r="B12" s="15" t="s">
        <v>268</v>
      </c>
      <c r="C12" s="9">
        <v>46095</v>
      </c>
      <c r="D12" s="9">
        <v>46155</v>
      </c>
      <c r="E12" s="15" t="s">
        <v>425</v>
      </c>
      <c r="F12" s="15" t="s">
        <v>426</v>
      </c>
      <c r="G12" s="4">
        <v>200</v>
      </c>
      <c r="H12" s="83" t="s">
        <v>406</v>
      </c>
    </row>
    <row r="13" spans="1:8" x14ac:dyDescent="0.2">
      <c r="A13" s="49" t="s">
        <v>427</v>
      </c>
      <c r="B13" s="15" t="s">
        <v>268</v>
      </c>
      <c r="C13" s="9">
        <v>46095</v>
      </c>
      <c r="D13" s="9">
        <v>46155</v>
      </c>
      <c r="E13" s="15" t="s">
        <v>425</v>
      </c>
      <c r="F13" s="15" t="s">
        <v>426</v>
      </c>
      <c r="G13" s="4">
        <v>200</v>
      </c>
      <c r="H13" s="83" t="s">
        <v>406</v>
      </c>
    </row>
    <row r="14" spans="1:8" ht="24.75" x14ac:dyDescent="0.2">
      <c r="A14" s="49" t="s">
        <v>428</v>
      </c>
      <c r="B14" s="15" t="s">
        <v>268</v>
      </c>
      <c r="C14" s="9">
        <v>46095</v>
      </c>
      <c r="D14" s="9">
        <v>46155</v>
      </c>
      <c r="E14" s="15" t="s">
        <v>429</v>
      </c>
      <c r="F14" s="15" t="s">
        <v>430</v>
      </c>
      <c r="G14" s="4">
        <v>100</v>
      </c>
      <c r="H14" s="91" t="s">
        <v>406</v>
      </c>
    </row>
    <row r="15" spans="1:8" x14ac:dyDescent="0.2">
      <c r="A15" s="49" t="s">
        <v>565</v>
      </c>
      <c r="B15" s="15" t="s">
        <v>268</v>
      </c>
      <c r="C15" s="9">
        <v>46193</v>
      </c>
      <c r="D15" s="9"/>
      <c r="E15" s="15" t="s">
        <v>566</v>
      </c>
      <c r="F15" s="84" t="s">
        <v>572</v>
      </c>
      <c r="G15" s="4"/>
      <c r="H15" s="92" t="s">
        <v>537</v>
      </c>
    </row>
    <row r="16" spans="1:8" s="84" customFormat="1" x14ac:dyDescent="0.2">
      <c r="A16" s="49"/>
      <c r="B16" s="15"/>
      <c r="C16" s="9"/>
      <c r="D16" s="9"/>
      <c r="E16" s="15"/>
      <c r="F16" s="15"/>
      <c r="G16" s="4"/>
      <c r="H16" s="88"/>
    </row>
    <row r="17" spans="1:8" s="84" customFormat="1" x14ac:dyDescent="0.2">
      <c r="A17" s="49"/>
      <c r="B17" s="15"/>
      <c r="C17" s="9"/>
      <c r="D17" s="9"/>
      <c r="E17" s="15"/>
      <c r="F17" s="15"/>
      <c r="G17" s="4"/>
      <c r="H17" s="88"/>
    </row>
    <row r="18" spans="1:8" s="84" customFormat="1" x14ac:dyDescent="0.2">
      <c r="A18" s="49"/>
      <c r="B18" s="15"/>
      <c r="C18" s="9"/>
      <c r="D18" s="9"/>
      <c r="E18" s="15"/>
      <c r="F18" s="15"/>
      <c r="G18" s="4"/>
      <c r="H18" s="88"/>
    </row>
    <row r="19" spans="1:8" s="84" customFormat="1" x14ac:dyDescent="0.2">
      <c r="A19" s="49"/>
      <c r="B19" s="15"/>
      <c r="C19" s="9"/>
      <c r="D19" s="9"/>
      <c r="E19" s="15"/>
      <c r="F19" s="15"/>
      <c r="G19" s="4"/>
      <c r="H19" s="88"/>
    </row>
    <row r="20" spans="1:8" s="84" customFormat="1" x14ac:dyDescent="0.2">
      <c r="A20" s="49"/>
      <c r="B20" s="15"/>
      <c r="C20" s="9"/>
      <c r="D20" s="9"/>
      <c r="E20" s="15"/>
      <c r="F20" s="15"/>
      <c r="G20" s="4"/>
      <c r="H20" s="88"/>
    </row>
    <row r="21" spans="1:8" s="84" customFormat="1" x14ac:dyDescent="0.2">
      <c r="A21" s="49"/>
      <c r="B21" s="15"/>
      <c r="C21" s="9"/>
      <c r="D21" s="9"/>
      <c r="E21" s="15"/>
      <c r="F21" s="15"/>
      <c r="G21" s="4"/>
      <c r="H21" s="88"/>
    </row>
    <row r="22" spans="1:8" s="84" customFormat="1" x14ac:dyDescent="0.2">
      <c r="A22" s="49"/>
      <c r="B22" s="15"/>
      <c r="C22" s="9"/>
      <c r="D22" s="9"/>
      <c r="E22" s="15"/>
      <c r="F22" s="15"/>
      <c r="G22" s="4"/>
      <c r="H22" s="88"/>
    </row>
    <row r="23" spans="1:8" s="84" customFormat="1" x14ac:dyDescent="0.2">
      <c r="A23" s="49"/>
      <c r="B23" s="15"/>
      <c r="C23" s="9"/>
      <c r="D23" s="9"/>
      <c r="E23" s="15"/>
      <c r="F23" s="15"/>
      <c r="G23" s="4"/>
      <c r="H23" s="88"/>
    </row>
    <row r="24" spans="1:8" s="84" customFormat="1" x14ac:dyDescent="0.2">
      <c r="A24" s="49"/>
      <c r="B24" s="15"/>
      <c r="C24" s="9"/>
      <c r="D24" s="9"/>
      <c r="E24" s="15"/>
      <c r="F24" s="15"/>
      <c r="G24" s="4"/>
      <c r="H24" s="88"/>
    </row>
    <row r="25" spans="1:8" s="84" customFormat="1" x14ac:dyDescent="0.2">
      <c r="A25" s="49"/>
      <c r="B25" s="15"/>
      <c r="C25" s="9"/>
      <c r="D25" s="9"/>
      <c r="E25" s="15"/>
      <c r="F25" s="15"/>
      <c r="G25" s="4"/>
      <c r="H25" s="88"/>
    </row>
    <row r="26" spans="1:8" s="84" customFormat="1" x14ac:dyDescent="0.2">
      <c r="A26" s="54"/>
      <c r="B26" s="55"/>
      <c r="C26" s="57"/>
      <c r="D26" s="76"/>
      <c r="E26" s="55"/>
      <c r="F26" s="55"/>
      <c r="G26" s="56"/>
      <c r="H26" s="88"/>
    </row>
    <row r="27" spans="1:8" s="84" customFormat="1" x14ac:dyDescent="0.2"/>
    <row r="28" spans="1:8" s="84" customFormat="1" x14ac:dyDescent="0.2"/>
    <row r="29" spans="1:8" s="84" customFormat="1" x14ac:dyDescent="0.2"/>
    <row r="30" spans="1:8" s="84" customFormat="1" x14ac:dyDescent="0.2"/>
    <row r="31" spans="1:8" s="84" customFormat="1" x14ac:dyDescent="0.2"/>
    <row r="32" spans="1:8" x14ac:dyDescent="0.2">
      <c r="F32" s="18" t="s">
        <v>431</v>
      </c>
      <c r="G32" s="89">
        <f>SUM(G5:G26)</f>
        <v>1647</v>
      </c>
    </row>
  </sheetData>
  <conditionalFormatting sqref="B5:B26">
    <cfRule type="cellIs" dxfId="9" priority="2" operator="equal">
      <formula>"Critical"</formula>
    </cfRule>
    <cfRule type="cellIs" dxfId="8" priority="3" operator="equal">
      <formula>"Medium"</formula>
    </cfRule>
    <cfRule type="cellIs" dxfId="7" priority="4" operator="equal">
      <formula>"Low"</formula>
    </cfRule>
  </conditionalFormatting>
  <conditionalFormatting sqref="H5:H26">
    <cfRule type="cellIs" dxfId="6" priority="5" operator="equal">
      <formula>"Resolved"</formula>
    </cfRule>
    <cfRule type="cellIs" dxfId="5" priority="6" operator="equal">
      <formula>"Monitoring"</formula>
    </cfRule>
    <cfRule type="cellIs" dxfId="4" priority="7" operator="equal">
      <formula>"Worsening"</formula>
    </cfRule>
    <cfRule type="cellIs" dxfId="3" priority="8" operator="equal">
      <formula>"Open"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499984740745262"/>
  </sheetPr>
  <dimension ref="A1:H29"/>
  <sheetViews>
    <sheetView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47.62109375" customWidth="1"/>
    <col min="2" max="2" width="16.0078125" customWidth="1"/>
    <col min="3" max="3" width="14.9296875" customWidth="1"/>
    <col min="4" max="4" width="34.70703125" customWidth="1"/>
    <col min="5" max="5" width="11.97265625" customWidth="1"/>
    <col min="6" max="6" width="20.04296875" customWidth="1"/>
    <col min="7" max="7" width="13.98828125" customWidth="1"/>
    <col min="8" max="8" width="61.87890625" customWidth="1"/>
  </cols>
  <sheetData>
    <row r="1" spans="1:8" ht="20.25" x14ac:dyDescent="0.25">
      <c r="A1" s="1" t="s">
        <v>432</v>
      </c>
    </row>
    <row r="2" spans="1:8" x14ac:dyDescent="0.2">
      <c r="A2" s="2" t="s">
        <v>433</v>
      </c>
    </row>
    <row r="4" spans="1:8" ht="27.75" customHeight="1" x14ac:dyDescent="0.2">
      <c r="A4" t="s">
        <v>434</v>
      </c>
      <c r="B4" t="s">
        <v>184</v>
      </c>
      <c r="C4" t="s">
        <v>435</v>
      </c>
      <c r="D4" t="s">
        <v>436</v>
      </c>
      <c r="E4" t="s">
        <v>233</v>
      </c>
      <c r="F4" t="s">
        <v>437</v>
      </c>
      <c r="G4" t="s">
        <v>251</v>
      </c>
      <c r="H4" t="s">
        <v>190</v>
      </c>
    </row>
    <row r="5" spans="1:8" x14ac:dyDescent="0.2">
      <c r="A5" t="s">
        <v>438</v>
      </c>
      <c r="B5" t="s">
        <v>439</v>
      </c>
      <c r="D5" t="s">
        <v>440</v>
      </c>
      <c r="E5">
        <v>75</v>
      </c>
      <c r="F5" t="s">
        <v>441</v>
      </c>
      <c r="G5" t="s">
        <v>536</v>
      </c>
      <c r="H5" t="s">
        <v>443</v>
      </c>
    </row>
    <row r="6" spans="1:8" x14ac:dyDescent="0.2">
      <c r="A6" t="s">
        <v>444</v>
      </c>
      <c r="B6" t="s">
        <v>445</v>
      </c>
      <c r="D6" t="s">
        <v>440</v>
      </c>
      <c r="E6">
        <v>90</v>
      </c>
      <c r="F6" t="s">
        <v>446</v>
      </c>
      <c r="G6" t="s">
        <v>536</v>
      </c>
      <c r="H6" t="s">
        <v>447</v>
      </c>
    </row>
    <row r="7" spans="1:8" x14ac:dyDescent="0.2">
      <c r="A7" t="s">
        <v>448</v>
      </c>
      <c r="B7" t="s">
        <v>449</v>
      </c>
      <c r="D7" t="s">
        <v>450</v>
      </c>
      <c r="E7">
        <v>12</v>
      </c>
      <c r="F7" t="s">
        <v>451</v>
      </c>
      <c r="G7" t="s">
        <v>536</v>
      </c>
      <c r="H7" t="s">
        <v>452</v>
      </c>
    </row>
    <row r="8" spans="1:8" x14ac:dyDescent="0.2">
      <c r="A8" t="s">
        <v>453</v>
      </c>
      <c r="B8" t="s">
        <v>454</v>
      </c>
      <c r="D8" t="s">
        <v>455</v>
      </c>
      <c r="E8">
        <v>15</v>
      </c>
      <c r="F8" t="s">
        <v>456</v>
      </c>
      <c r="G8" t="s">
        <v>536</v>
      </c>
      <c r="H8" t="s">
        <v>457</v>
      </c>
    </row>
    <row r="9" spans="1:8" x14ac:dyDescent="0.2">
      <c r="A9" t="s">
        <v>458</v>
      </c>
      <c r="B9" t="s">
        <v>454</v>
      </c>
      <c r="D9" t="s">
        <v>455</v>
      </c>
      <c r="E9">
        <v>5</v>
      </c>
      <c r="F9" t="s">
        <v>456</v>
      </c>
      <c r="G9" t="s">
        <v>536</v>
      </c>
      <c r="H9" t="s">
        <v>459</v>
      </c>
    </row>
    <row r="10" spans="1:8" x14ac:dyDescent="0.2">
      <c r="A10" t="s">
        <v>460</v>
      </c>
      <c r="B10" t="s">
        <v>454</v>
      </c>
      <c r="D10" t="s">
        <v>455</v>
      </c>
      <c r="E10">
        <v>35</v>
      </c>
      <c r="F10" t="s">
        <v>446</v>
      </c>
      <c r="G10" t="s">
        <v>536</v>
      </c>
      <c r="H10" t="s">
        <v>461</v>
      </c>
    </row>
    <row r="11" spans="1:8" x14ac:dyDescent="0.2">
      <c r="A11" t="s">
        <v>462</v>
      </c>
      <c r="B11" t="s">
        <v>445</v>
      </c>
      <c r="D11" t="s">
        <v>455</v>
      </c>
      <c r="E11">
        <v>25</v>
      </c>
      <c r="F11" t="s">
        <v>446</v>
      </c>
      <c r="G11" t="s">
        <v>536</v>
      </c>
      <c r="H11" t="s">
        <v>463</v>
      </c>
    </row>
    <row r="12" spans="1:8" x14ac:dyDescent="0.2">
      <c r="A12" t="s">
        <v>464</v>
      </c>
      <c r="B12" t="s">
        <v>465</v>
      </c>
      <c r="D12" t="s">
        <v>455</v>
      </c>
      <c r="E12">
        <v>8</v>
      </c>
      <c r="F12" t="s">
        <v>446</v>
      </c>
      <c r="G12" t="s">
        <v>442</v>
      </c>
      <c r="H12" t="s">
        <v>466</v>
      </c>
    </row>
    <row r="13" spans="1:8" x14ac:dyDescent="0.2">
      <c r="A13" t="s">
        <v>467</v>
      </c>
      <c r="B13" t="s">
        <v>465</v>
      </c>
      <c r="D13" t="s">
        <v>455</v>
      </c>
      <c r="E13">
        <v>5</v>
      </c>
      <c r="F13" t="s">
        <v>468</v>
      </c>
      <c r="G13" t="s">
        <v>442</v>
      </c>
      <c r="H13" t="s">
        <v>469</v>
      </c>
    </row>
    <row r="14" spans="1:8" x14ac:dyDescent="0.2">
      <c r="A14" t="s">
        <v>470</v>
      </c>
      <c r="B14" t="s">
        <v>465</v>
      </c>
      <c r="D14" t="s">
        <v>455</v>
      </c>
      <c r="E14">
        <v>15</v>
      </c>
      <c r="F14" t="s">
        <v>471</v>
      </c>
      <c r="G14" t="s">
        <v>536</v>
      </c>
    </row>
    <row r="15" spans="1:8" x14ac:dyDescent="0.2">
      <c r="A15" t="s">
        <v>472</v>
      </c>
      <c r="B15" t="s">
        <v>473</v>
      </c>
      <c r="D15" t="s">
        <v>455</v>
      </c>
      <c r="E15">
        <v>8</v>
      </c>
      <c r="F15" t="s">
        <v>446</v>
      </c>
      <c r="G15" t="s">
        <v>536</v>
      </c>
    </row>
    <row r="16" spans="1:8" x14ac:dyDescent="0.2">
      <c r="A16" t="s">
        <v>474</v>
      </c>
      <c r="B16" t="s">
        <v>473</v>
      </c>
      <c r="D16" t="s">
        <v>475</v>
      </c>
      <c r="E16">
        <v>20</v>
      </c>
      <c r="F16" t="s">
        <v>476</v>
      </c>
      <c r="G16" t="s">
        <v>442</v>
      </c>
      <c r="H16" t="s">
        <v>477</v>
      </c>
    </row>
    <row r="17" spans="1:8" x14ac:dyDescent="0.2">
      <c r="A17" t="s">
        <v>478</v>
      </c>
      <c r="B17" t="s">
        <v>479</v>
      </c>
      <c r="D17" t="s">
        <v>455</v>
      </c>
      <c r="E17">
        <v>8</v>
      </c>
      <c r="F17" t="s">
        <v>446</v>
      </c>
      <c r="G17" t="s">
        <v>536</v>
      </c>
      <c r="H17" t="s">
        <v>480</v>
      </c>
    </row>
    <row r="18" spans="1:8" x14ac:dyDescent="0.2">
      <c r="A18" t="s">
        <v>481</v>
      </c>
      <c r="B18" t="s">
        <v>479</v>
      </c>
      <c r="D18" t="s">
        <v>482</v>
      </c>
      <c r="E18">
        <v>30</v>
      </c>
      <c r="F18" t="s">
        <v>476</v>
      </c>
      <c r="G18" t="s">
        <v>442</v>
      </c>
      <c r="H18" t="s">
        <v>483</v>
      </c>
    </row>
    <row r="19" spans="1:8" x14ac:dyDescent="0.2">
      <c r="A19" t="s">
        <v>484</v>
      </c>
      <c r="B19" t="s">
        <v>454</v>
      </c>
      <c r="D19" t="s">
        <v>455</v>
      </c>
      <c r="E19">
        <v>40</v>
      </c>
      <c r="F19" t="s">
        <v>476</v>
      </c>
      <c r="G19" t="s">
        <v>536</v>
      </c>
      <c r="H19" t="s">
        <v>485</v>
      </c>
    </row>
    <row r="20" spans="1:8" x14ac:dyDescent="0.2">
      <c r="A20" t="s">
        <v>486</v>
      </c>
      <c r="B20" t="s">
        <v>454</v>
      </c>
      <c r="D20" t="s">
        <v>440</v>
      </c>
      <c r="E20">
        <v>20</v>
      </c>
      <c r="F20" t="s">
        <v>456</v>
      </c>
      <c r="G20" t="s">
        <v>536</v>
      </c>
      <c r="H20" t="s">
        <v>487</v>
      </c>
    </row>
    <row r="21" spans="1:8" x14ac:dyDescent="0.2">
      <c r="A21" t="s">
        <v>542</v>
      </c>
      <c r="B21" t="s">
        <v>439</v>
      </c>
      <c r="D21" t="s">
        <v>440</v>
      </c>
      <c r="E21">
        <v>30</v>
      </c>
      <c r="F21" t="s">
        <v>446</v>
      </c>
      <c r="G21" t="s">
        <v>536</v>
      </c>
    </row>
    <row r="22" spans="1:8" x14ac:dyDescent="0.2">
      <c r="A22" t="s">
        <v>543</v>
      </c>
      <c r="B22" t="s">
        <v>439</v>
      </c>
      <c r="D22" t="s">
        <v>482</v>
      </c>
      <c r="E22">
        <v>50</v>
      </c>
      <c r="F22" t="s">
        <v>446</v>
      </c>
      <c r="G22" t="s">
        <v>536</v>
      </c>
    </row>
    <row r="23" spans="1:8" x14ac:dyDescent="0.2">
      <c r="A23" t="s">
        <v>559</v>
      </c>
      <c r="B23" t="s">
        <v>454</v>
      </c>
      <c r="D23" t="s">
        <v>440</v>
      </c>
      <c r="E23">
        <v>150</v>
      </c>
      <c r="F23" t="s">
        <v>446</v>
      </c>
      <c r="G23" t="s">
        <v>536</v>
      </c>
    </row>
    <row r="25" spans="1:8" s="84" customFormat="1" x14ac:dyDescent="0.2"/>
    <row r="26" spans="1:8" s="84" customFormat="1" x14ac:dyDescent="0.2"/>
    <row r="27" spans="1:8" x14ac:dyDescent="0.2">
      <c r="D27" s="39" t="s">
        <v>488</v>
      </c>
      <c r="E27" s="59">
        <f>SUM(E5:E25)</f>
        <v>641</v>
      </c>
    </row>
    <row r="28" spans="1:8" x14ac:dyDescent="0.2">
      <c r="D28" s="39" t="s">
        <v>489</v>
      </c>
      <c r="E28" s="59">
        <f>SUMIFS(E5:E25,G5:G25,"Owned")</f>
        <v>578</v>
      </c>
    </row>
    <row r="29" spans="1:8" x14ac:dyDescent="0.2">
      <c r="D29" s="39" t="s">
        <v>490</v>
      </c>
      <c r="E29" s="59">
        <f>SUMIFS(E5:E25,G5:G25,"To order")+SUMIFS(E5:E25,G5:G25,"On order")</f>
        <v>63</v>
      </c>
    </row>
  </sheetData>
  <conditionalFormatting sqref="G5:G75">
    <cfRule type="cellIs" dxfId="2" priority="2" operator="equal">
      <formula>"Owned"</formula>
    </cfRule>
    <cfRule type="cellIs" dxfId="1" priority="3" operator="equal">
      <formula>"On order"</formula>
    </cfRule>
    <cfRule type="cellIs" dxfId="0" priority="4" operator="equal">
      <formula>"To order"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Vehicle Info</vt:lpstr>
      <vt:lpstr>Expenses Log</vt:lpstr>
      <vt:lpstr>Fuel Log</vt:lpstr>
      <vt:lpstr>Service History</vt:lpstr>
      <vt:lpstr>DIY To-Do</vt:lpstr>
      <vt:lpstr>Workshop To-Do</vt:lpstr>
      <vt:lpstr>Regular Checks</vt:lpstr>
      <vt:lpstr>Wash Log</vt:lpstr>
      <vt:lpstr>Tyre Log</vt:lpstr>
      <vt:lpstr>Budget</vt:lpstr>
      <vt:lpstr>Issues Watchlist</vt:lpstr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Piotr Wieszyński</cp:lastModifiedBy>
  <cp:revision>0</cp:revision>
  <dcterms:created xsi:type="dcterms:W3CDTF">2026-04-16T09:13:44Z</dcterms:created>
  <dcterms:modified xsi:type="dcterms:W3CDTF">2026-06-08T09:03:43Z</dcterms:modified>
  <dc:language>en-US</dc:language>
</cp:coreProperties>
</file>